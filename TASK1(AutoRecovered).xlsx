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7\Desktop\github.p\Data-analytics\"/>
    </mc:Choice>
  </mc:AlternateContent>
  <xr:revisionPtr revIDLastSave="0" documentId="8_{2FF0EF51-63F6-4155-9692-E6767866C8B0}" xr6:coauthVersionLast="47" xr6:coauthVersionMax="47" xr10:uidLastSave="{00000000-0000-0000-0000-000000000000}"/>
  <bookViews>
    <workbookView xWindow="-120" yWindow="-120" windowWidth="29040" windowHeight="15720" activeTab="4" xr2:uid="{2FB6AEA2-7932-4542-82B9-AB46A7F6D890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4" l="1"/>
  <c r="C23" i="4"/>
  <c r="C22" i="4"/>
  <c r="C21" i="4"/>
</calcChain>
</file>

<file path=xl/sharedStrings.xml><?xml version="1.0" encoding="utf-8"?>
<sst xmlns="http://schemas.openxmlformats.org/spreadsheetml/2006/main" count="221" uniqueCount="136">
  <si>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</si>
  <si>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</si>
  <si>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</si>
  <si>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</si>
  <si>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</si>
  <si>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</si>
  <si>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</si>
  <si>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</si>
  <si>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</si>
  <si>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</si>
  <si>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</si>
  <si>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</si>
  <si>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</si>
  <si>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</si>
  <si>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</si>
  <si>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</si>
  <si>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</si>
  <si>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</si>
  <si>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</si>
  <si>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</si>
  <si>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</si>
  <si>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</si>
  <si>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</si>
  <si>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</si>
  <si>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</si>
  <si>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</si>
  <si>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</si>
  <si>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</si>
  <si>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</si>
  <si>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</si>
  <si>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</si>
  <si>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</si>
  <si>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</si>
  <si>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Rahul mehta</t>
  </si>
  <si>
    <t>Ankit patel</t>
  </si>
  <si>
    <t>Neha verma</t>
  </si>
  <si>
    <t>Amit sharma</t>
  </si>
  <si>
    <t>Pooja singh</t>
  </si>
  <si>
    <t>Financ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</si>
  <si>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</si>
  <si>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</si>
  <si>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</si>
  <si>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</si>
  <si>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</si>
  <si>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</si>
  <si>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</si>
  <si>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</si>
  <si>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</si>
  <si>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</si>
  <si>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</si>
  <si>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</si>
  <si>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oppoa78</t>
  </si>
  <si>
    <t>iphone5</t>
  </si>
  <si>
    <t>iphone6</t>
  </si>
  <si>
    <t>iphone7</t>
  </si>
  <si>
    <t>iphone8</t>
  </si>
  <si>
    <t>iphone9</t>
  </si>
  <si>
    <t>iphone10</t>
  </si>
  <si>
    <t>iphone11</t>
  </si>
  <si>
    <t>iphone12</t>
  </si>
  <si>
    <t>iphone12max</t>
  </si>
  <si>
    <t>iphone12promax</t>
  </si>
  <si>
    <t>iphone13</t>
  </si>
  <si>
    <t>iphone14</t>
  </si>
  <si>
    <t>iphone15</t>
  </si>
  <si>
    <t>iphone16</t>
  </si>
  <si>
    <t>iphone17</t>
  </si>
  <si>
    <t>Product Name</t>
  </si>
  <si>
    <t>Region</t>
  </si>
  <si>
    <t>Sales Amount</t>
  </si>
  <si>
    <t>Salesperson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</si>
  <si>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</si>
  <si>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</si>
  <si>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</si>
  <si>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</si>
  <si>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</si>
  <si>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</si>
  <si>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</si>
  <si>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</si>
  <si>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</si>
  <si>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</si>
  <si>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</si>
  <si>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</si>
  <si>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total</t>
  </si>
  <si>
    <t>prithvi</t>
  </si>
  <si>
    <t>ravi</t>
  </si>
  <si>
    <t>hitesh</t>
  </si>
  <si>
    <t>tushar</t>
  </si>
  <si>
    <t>rajat</t>
  </si>
  <si>
    <t>jeel</t>
  </si>
  <si>
    <t>dixit</t>
  </si>
  <si>
    <t>renish</t>
  </si>
  <si>
    <t>pankaj</t>
  </si>
  <si>
    <t>jay</t>
  </si>
  <si>
    <t>jaimin</t>
  </si>
  <si>
    <t>veeru</t>
  </si>
  <si>
    <t>sunny</t>
  </si>
  <si>
    <t>krishna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</si>
  <si>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</si>
  <si>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</si>
  <si>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</si>
  <si>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</si>
  <si>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</si>
  <si>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</si>
  <si>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</si>
  <si>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</si>
  <si>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</si>
  <si>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</si>
  <si>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</si>
  <si>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</si>
  <si>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</si>
  <si>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</si>
  <si>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</si>
  <si>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</si>
  <si>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</si>
  <si>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</si>
  <si>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</si>
  <si>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</si>
  <si>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</si>
  <si>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TOTAL SALESH</t>
  </si>
  <si>
    <t>AVRAGE SALARY</t>
  </si>
  <si>
    <t>HIGHEST SALES</t>
  </si>
  <si>
    <t>LOWEST SALES</t>
  </si>
  <si>
    <t>Task
Calculate Total Sales
Find Average Sales
Identify Highest &amp; Lowest Sale</t>
  </si>
  <si>
    <t>Employee Name</t>
  </si>
  <si>
    <t>Suresh</t>
  </si>
  <si>
    <t>Meena</t>
  </si>
  <si>
    <t>Karan</t>
  </si>
  <si>
    <t>Ritu</t>
  </si>
  <si>
    <t>Aman</t>
  </si>
  <si>
    <t>Neel</t>
  </si>
  <si>
    <t>Prithvi</t>
  </si>
  <si>
    <t>Hitesh</t>
  </si>
  <si>
    <t>Ravi</t>
  </si>
  <si>
    <t>Tushar</t>
  </si>
  <si>
    <t>Pankaj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</si>
</sst>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b/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sz val="13.75"/>
      <color rgb="FF1F2328"/>
      <name val="Segoe UI"/>
      <family val="2"/>
    </font>
    <font>
      <sz val="12"/>
      <color rgb="FF1F2328"/>
      <name val="Segoe UI"/>
      <family val="2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 style="medium">
        <color rgb="FFD1D9E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10" fontId="0" fillId="0" borderId="0" xfId="0" applyNumberFormat="1"/>
    <xf numFmtId="9" fontId="1" fillId="2" borderId="2" xfId="1" applyFont="1" applyFill="1" applyBorder="1" applyAlignment="1">
      <alignment horizontal="left" vertical="center" wrapText="1" indent="1"/>
    </xf>
    <xf numFmtId="9" fontId="1" fillId="3" borderId="2" xfId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/>
    <xf numFmtId="0" fontId="0" fillId="0" borderId="0" xfId="0" applyFill="1" applyBorder="1"/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546F-E1C1-4869-BC0B-735BD5CB62CC}">
  <dimension ref="A1:K20"/>
  <sheetViews>
    <sheetView workbookViewId="0">
      <selection activeCell="K17" sqref="K17"/>
    </sheetView>
  </sheetViews>
  <sheetFormatPr defaultRowHeight="15" x14ac:dyDescent="0.25"/>
  <cols>
    <col min="1" max="1" width="15.42578125" bestFit="1" customWidth="1"/>
    <col min="2" max="2" width="16.7109375" customWidth="1"/>
    <col min="3" max="3" width="14.7109375" bestFit="1" customWidth="1"/>
    <col min="4" max="4" width="13" bestFit="1" customWidth="1"/>
    <col min="5" max="5" width="15.42578125" bestFit="1" customWidth="1"/>
    <col min="8" max="8" width="14" customWidth="1"/>
    <col min="11" max="11" width="19.140625" customWidth="1"/>
  </cols>
  <sheetData>
    <row r="1" spans="1:11" ht="17.25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11" ht="17.25" x14ac:dyDescent="0.25">
      <c r="A2" s="2" t="s">
        <v>5</v>
      </c>
      <c r="B2" s="2" t="s">
        <v>6</v>
      </c>
      <c r="C2" s="2" t="s">
        <v>7</v>
      </c>
      <c r="D2" s="9">
        <v>32000</v>
      </c>
      <c r="E2" s="3">
        <v>44573</v>
      </c>
    </row>
    <row r="3" spans="1:11" ht="17.25" x14ac:dyDescent="0.25">
      <c r="A3" s="4" t="s">
        <v>8</v>
      </c>
      <c r="B3" s="4" t="s">
        <v>9</v>
      </c>
      <c r="C3" s="4" t="s">
        <v>10</v>
      </c>
      <c r="D3" s="10">
        <v>45000</v>
      </c>
      <c r="E3" s="5">
        <v>44260</v>
      </c>
    </row>
    <row r="4" spans="1:11" ht="17.25" x14ac:dyDescent="0.25">
      <c r="A4" s="2" t="s">
        <v>11</v>
      </c>
      <c r="B4" s="2" t="s">
        <v>12</v>
      </c>
      <c r="C4" s="2" t="s">
        <v>13</v>
      </c>
      <c r="D4" s="9">
        <v>38000</v>
      </c>
      <c r="E4" s="3">
        <v>44030</v>
      </c>
    </row>
    <row r="5" spans="1:11" ht="17.25" x14ac:dyDescent="0.25">
      <c r="A5" s="4" t="s">
        <v>14</v>
      </c>
      <c r="B5" s="4" t="s">
        <v>15</v>
      </c>
      <c r="C5" s="4" t="s">
        <v>10</v>
      </c>
      <c r="D5" s="10">
        <v>52000</v>
      </c>
      <c r="E5" s="5">
        <v>43779</v>
      </c>
    </row>
    <row r="6" spans="1:11" ht="17.25" x14ac:dyDescent="0.25">
      <c r="A6" s="4" t="s">
        <v>16</v>
      </c>
      <c r="B6" s="2" t="s">
        <v>17</v>
      </c>
      <c r="C6" s="2" t="s">
        <v>18</v>
      </c>
      <c r="D6" s="9">
        <v>30000</v>
      </c>
      <c r="E6" s="3">
        <v>45102</v>
      </c>
    </row>
    <row r="7" spans="1:11" ht="17.25" x14ac:dyDescent="0.25">
      <c r="A7" s="4" t="s">
        <v>19</v>
      </c>
      <c r="B7" s="2" t="s">
        <v>36</v>
      </c>
      <c r="C7" s="2" t="s">
        <v>18</v>
      </c>
      <c r="D7" s="9">
        <v>40372</v>
      </c>
      <c r="E7" s="3">
        <v>45698</v>
      </c>
      <c r="K7" s="1"/>
    </row>
    <row r="8" spans="1:11" ht="17.25" x14ac:dyDescent="0.25">
      <c r="A8" s="4" t="s">
        <v>20</v>
      </c>
      <c r="B8" s="2" t="s">
        <v>33</v>
      </c>
      <c r="C8" s="2" t="s">
        <v>7</v>
      </c>
      <c r="D8" s="9">
        <v>35691</v>
      </c>
      <c r="E8" s="3">
        <v>46385</v>
      </c>
      <c r="K8" s="1"/>
    </row>
    <row r="9" spans="1:11" ht="17.25" x14ac:dyDescent="0.25">
      <c r="A9" s="4" t="s">
        <v>21</v>
      </c>
      <c r="B9" s="2" t="s">
        <v>37</v>
      </c>
      <c r="C9" s="2" t="s">
        <v>38</v>
      </c>
      <c r="D9" s="9">
        <v>50982</v>
      </c>
      <c r="E9" s="3">
        <v>46695</v>
      </c>
      <c r="K9" s="1"/>
    </row>
    <row r="10" spans="1:11" ht="17.25" x14ac:dyDescent="0.25">
      <c r="A10" s="4" t="s">
        <v>22</v>
      </c>
      <c r="B10" s="2" t="s">
        <v>34</v>
      </c>
      <c r="C10" s="2" t="s">
        <v>10</v>
      </c>
      <c r="D10" s="9">
        <v>47595</v>
      </c>
      <c r="E10" s="3">
        <v>46310</v>
      </c>
      <c r="K10" s="1"/>
    </row>
    <row r="11" spans="1:11" ht="17.25" x14ac:dyDescent="0.25">
      <c r="A11" s="4" t="s">
        <v>23</v>
      </c>
      <c r="B11" s="2" t="s">
        <v>34</v>
      </c>
      <c r="C11" s="2" t="s">
        <v>18</v>
      </c>
      <c r="D11" s="9">
        <v>43018</v>
      </c>
      <c r="E11" s="3">
        <v>45342</v>
      </c>
      <c r="K11" s="1"/>
    </row>
    <row r="12" spans="1:11" ht="17.25" x14ac:dyDescent="0.25">
      <c r="A12" s="4" t="s">
        <v>24</v>
      </c>
      <c r="B12" s="2" t="s">
        <v>34</v>
      </c>
      <c r="C12" s="2" t="s">
        <v>38</v>
      </c>
      <c r="D12" s="9">
        <v>42895</v>
      </c>
      <c r="E12" s="3">
        <v>44135</v>
      </c>
      <c r="K12" s="1"/>
    </row>
    <row r="13" spans="1:11" ht="17.25" x14ac:dyDescent="0.25">
      <c r="A13" s="4" t="s">
        <v>25</v>
      </c>
      <c r="B13" s="2" t="s">
        <v>36</v>
      </c>
      <c r="C13" s="2" t="s">
        <v>18</v>
      </c>
      <c r="D13" s="9">
        <v>43535</v>
      </c>
      <c r="E13" s="3">
        <v>45407</v>
      </c>
      <c r="K13" s="1"/>
    </row>
    <row r="14" spans="1:11" ht="17.25" x14ac:dyDescent="0.25">
      <c r="A14" s="4" t="s">
        <v>26</v>
      </c>
      <c r="B14" s="2" t="s">
        <v>33</v>
      </c>
      <c r="C14" s="2" t="s">
        <v>18</v>
      </c>
      <c r="D14" s="9">
        <v>42738</v>
      </c>
      <c r="E14" s="3">
        <v>46431</v>
      </c>
      <c r="K14" s="1"/>
    </row>
    <row r="15" spans="1:11" ht="17.25" x14ac:dyDescent="0.25">
      <c r="A15" s="4" t="s">
        <v>27</v>
      </c>
      <c r="B15" s="2" t="s">
        <v>37</v>
      </c>
      <c r="C15" s="2" t="s">
        <v>10</v>
      </c>
      <c r="D15" s="9">
        <v>38186</v>
      </c>
      <c r="E15" s="3">
        <v>44592</v>
      </c>
      <c r="K15" s="1"/>
    </row>
    <row r="16" spans="1:11" ht="17.25" x14ac:dyDescent="0.25">
      <c r="A16" s="4" t="s">
        <v>28</v>
      </c>
      <c r="B16" s="2" t="s">
        <v>34</v>
      </c>
      <c r="C16" s="2" t="s">
        <v>10</v>
      </c>
      <c r="D16" s="9">
        <v>39787</v>
      </c>
      <c r="E16" s="3">
        <v>45419</v>
      </c>
      <c r="K16" s="1"/>
    </row>
    <row r="17" spans="1:11" ht="17.25" x14ac:dyDescent="0.25">
      <c r="A17" s="4" t="s">
        <v>29</v>
      </c>
      <c r="B17" s="2" t="s">
        <v>35</v>
      </c>
      <c r="C17" s="2" t="s">
        <v>10</v>
      </c>
      <c r="D17" s="9">
        <v>47599</v>
      </c>
      <c r="E17" s="3">
        <v>44164</v>
      </c>
      <c r="K17" s="1"/>
    </row>
    <row r="18" spans="1:11" ht="17.25" x14ac:dyDescent="0.25">
      <c r="A18" s="4" t="s">
        <v>30</v>
      </c>
      <c r="B18" s="2" t="s">
        <v>35</v>
      </c>
      <c r="C18" s="2" t="s">
        <v>38</v>
      </c>
      <c r="D18" s="9">
        <v>42465</v>
      </c>
      <c r="E18" s="3">
        <v>45901</v>
      </c>
      <c r="K18" s="1"/>
    </row>
    <row r="19" spans="1:11" ht="17.25" x14ac:dyDescent="0.25">
      <c r="A19" s="4" t="s">
        <v>31</v>
      </c>
      <c r="B19" s="2" t="s">
        <v>37</v>
      </c>
      <c r="C19" s="2" t="s">
        <v>38</v>
      </c>
      <c r="D19" s="9">
        <v>46304</v>
      </c>
      <c r="E19" s="3">
        <v>45260</v>
      </c>
      <c r="K19" s="1"/>
    </row>
    <row r="20" spans="1:11" ht="17.25" x14ac:dyDescent="0.25">
      <c r="A20" s="4" t="s">
        <v>32</v>
      </c>
      <c r="B20" s="2" t="s">
        <v>33</v>
      </c>
      <c r="C20" s="2" t="s">
        <v>18</v>
      </c>
      <c r="D20" s="9">
        <v>38469</v>
      </c>
      <c r="E20" s="3">
        <v>46588</v>
      </c>
      <c r="K20" s="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0DC1-990D-4BBC-9B5A-2CFCAF6ECB44}">
  <dimension ref="A1:D22"/>
  <sheetViews>
    <sheetView zoomScaleNormal="100" workbookViewId="0">
      <selection activeCell="C2" sqref="C2"/>
    </sheetView>
  </sheetViews>
  <sheetFormatPr defaultRowHeight="15" x14ac:dyDescent="0.25"/>
  <cols>
    <col min="1" max="1" width="26.42578125" bestFit="1" customWidth="1"/>
    <col min="2" max="2" width="9.140625" bestFit="1" customWidth="1"/>
    <col min="3" max="3" width="16.85546875" bestFit="1" customWidth="1"/>
    <col min="4" max="4" width="15" bestFit="1" customWidth="1"/>
  </cols>
  <sheetData>
    <row r="1" spans="1:4" ht="33.75" x14ac:dyDescent="0.5">
      <c r="A1" s="31" t="s">
        <v>71</v>
      </c>
      <c r="B1" s="32"/>
      <c r="C1" s="32"/>
      <c r="D1" s="32"/>
    </row>
    <row r="2" spans="1:4" ht="17.25" x14ac:dyDescent="0.25">
      <c r="A2" s="12" t="s">
        <v>67</v>
      </c>
      <c r="B2" s="12" t="s">
        <v>68</v>
      </c>
      <c r="C2" s="12" t="s">
        <v>69</v>
      </c>
      <c r="D2" s="12" t="s">
        <v>70</v>
      </c>
    </row>
    <row r="3" spans="1:4" x14ac:dyDescent="0.25">
      <c r="A3" s="13" t="s">
        <v>39</v>
      </c>
      <c r="B3" s="14" t="s">
        <v>40</v>
      </c>
      <c r="C3" s="15">
        <v>45000</v>
      </c>
      <c r="D3" s="14" t="s">
        <v>41</v>
      </c>
    </row>
    <row r="4" spans="1:4" x14ac:dyDescent="0.25">
      <c r="A4" s="16" t="s">
        <v>42</v>
      </c>
      <c r="B4" s="17" t="s">
        <v>43</v>
      </c>
      <c r="C4" s="18">
        <v>1200</v>
      </c>
      <c r="D4" s="17" t="s">
        <v>44</v>
      </c>
    </row>
    <row r="5" spans="1:4" x14ac:dyDescent="0.25">
      <c r="A5" s="13" t="s">
        <v>45</v>
      </c>
      <c r="B5" s="14" t="s">
        <v>46</v>
      </c>
      <c r="C5" s="15">
        <v>18000</v>
      </c>
      <c r="D5" s="14" t="s">
        <v>47</v>
      </c>
    </row>
    <row r="6" spans="1:4" x14ac:dyDescent="0.25">
      <c r="A6" s="16" t="s">
        <v>48</v>
      </c>
      <c r="B6" s="17" t="s">
        <v>49</v>
      </c>
      <c r="C6" s="18">
        <v>62000</v>
      </c>
      <c r="D6" s="17" t="s">
        <v>50</v>
      </c>
    </row>
    <row r="7" spans="1:4" x14ac:dyDescent="0.25">
      <c r="A7" s="13" t="s">
        <v>51</v>
      </c>
      <c r="B7" s="14" t="s">
        <v>49</v>
      </c>
      <c r="C7" s="15">
        <v>14431</v>
      </c>
      <c r="D7" s="14" t="s">
        <v>41</v>
      </c>
    </row>
    <row r="8" spans="1:4" x14ac:dyDescent="0.25">
      <c r="A8" s="16" t="s">
        <v>52</v>
      </c>
      <c r="B8" s="17" t="s">
        <v>49</v>
      </c>
      <c r="C8" s="18">
        <v>43834</v>
      </c>
      <c r="D8" s="17" t="s">
        <v>47</v>
      </c>
    </row>
    <row r="9" spans="1:4" x14ac:dyDescent="0.25">
      <c r="A9" s="13" t="s">
        <v>53</v>
      </c>
      <c r="B9" s="14" t="s">
        <v>46</v>
      </c>
      <c r="C9" s="15">
        <v>57163</v>
      </c>
      <c r="D9" s="14" t="s">
        <v>50</v>
      </c>
    </row>
    <row r="10" spans="1:4" x14ac:dyDescent="0.25">
      <c r="A10" s="16" t="s">
        <v>54</v>
      </c>
      <c r="B10" s="17" t="s">
        <v>46</v>
      </c>
      <c r="C10" s="18">
        <v>41287</v>
      </c>
      <c r="D10" s="17" t="s">
        <v>41</v>
      </c>
    </row>
    <row r="11" spans="1:4" x14ac:dyDescent="0.25">
      <c r="A11" s="13" t="s">
        <v>55</v>
      </c>
      <c r="B11" s="14" t="s">
        <v>49</v>
      </c>
      <c r="C11" s="15">
        <v>47735</v>
      </c>
      <c r="D11" s="14" t="s">
        <v>47</v>
      </c>
    </row>
    <row r="12" spans="1:4" x14ac:dyDescent="0.25">
      <c r="A12" s="16" t="s">
        <v>56</v>
      </c>
      <c r="B12" s="17" t="s">
        <v>46</v>
      </c>
      <c r="C12" s="18">
        <v>46689</v>
      </c>
      <c r="D12" s="17" t="s">
        <v>47</v>
      </c>
    </row>
    <row r="13" spans="1:4" x14ac:dyDescent="0.25">
      <c r="A13" s="13" t="s">
        <v>57</v>
      </c>
      <c r="B13" s="14" t="s">
        <v>49</v>
      </c>
      <c r="C13" s="15">
        <v>35914</v>
      </c>
      <c r="D13" s="14" t="s">
        <v>47</v>
      </c>
    </row>
    <row r="14" spans="1:4" x14ac:dyDescent="0.25">
      <c r="A14" s="16" t="s">
        <v>58</v>
      </c>
      <c r="B14" s="17" t="s">
        <v>43</v>
      </c>
      <c r="C14" s="18">
        <v>61263</v>
      </c>
      <c r="D14" s="17" t="s">
        <v>44</v>
      </c>
    </row>
    <row r="15" spans="1:4" x14ac:dyDescent="0.25">
      <c r="A15" s="13" t="s">
        <v>59</v>
      </c>
      <c r="B15" s="14" t="s">
        <v>43</v>
      </c>
      <c r="C15" s="15">
        <v>55533</v>
      </c>
      <c r="D15" s="14" t="s">
        <v>50</v>
      </c>
    </row>
    <row r="16" spans="1:4" x14ac:dyDescent="0.25">
      <c r="A16" s="16" t="s">
        <v>60</v>
      </c>
      <c r="B16" s="17" t="s">
        <v>49</v>
      </c>
      <c r="C16" s="18">
        <v>44563</v>
      </c>
      <c r="D16" s="17" t="s">
        <v>50</v>
      </c>
    </row>
    <row r="17" spans="1:4" x14ac:dyDescent="0.25">
      <c r="A17" s="13" t="s">
        <v>61</v>
      </c>
      <c r="B17" s="14" t="s">
        <v>40</v>
      </c>
      <c r="C17" s="15">
        <v>18370</v>
      </c>
      <c r="D17" s="14" t="s">
        <v>44</v>
      </c>
    </row>
    <row r="18" spans="1:4" x14ac:dyDescent="0.25">
      <c r="A18" s="16" t="s">
        <v>62</v>
      </c>
      <c r="B18" s="17" t="s">
        <v>43</v>
      </c>
      <c r="C18" s="18">
        <v>36741</v>
      </c>
      <c r="D18" s="17" t="s">
        <v>41</v>
      </c>
    </row>
    <row r="19" spans="1:4" x14ac:dyDescent="0.25">
      <c r="A19" s="13" t="s">
        <v>63</v>
      </c>
      <c r="B19" s="14" t="s">
        <v>46</v>
      </c>
      <c r="C19" s="15">
        <v>29477</v>
      </c>
      <c r="D19" s="14" t="s">
        <v>44</v>
      </c>
    </row>
    <row r="20" spans="1:4" x14ac:dyDescent="0.25">
      <c r="A20" s="16" t="s">
        <v>64</v>
      </c>
      <c r="B20" s="17" t="s">
        <v>49</v>
      </c>
      <c r="C20" s="18">
        <v>61680</v>
      </c>
      <c r="D20" s="17" t="s">
        <v>44</v>
      </c>
    </row>
    <row r="21" spans="1:4" x14ac:dyDescent="0.25">
      <c r="A21" s="13" t="s">
        <v>65</v>
      </c>
      <c r="B21" s="14" t="s">
        <v>49</v>
      </c>
      <c r="C21" s="15">
        <v>30436</v>
      </c>
      <c r="D21" s="14" t="s">
        <v>47</v>
      </c>
    </row>
    <row r="22" spans="1:4" x14ac:dyDescent="0.25">
      <c r="A22" s="16" t="s">
        <v>66</v>
      </c>
      <c r="B22" s="17" t="s">
        <v>40</v>
      </c>
      <c r="C22" s="18">
        <v>68209</v>
      </c>
      <c r="D22" s="17" t="s">
        <v>41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57FC-0B0B-4998-BC9A-16E4E519114F}">
  <dimension ref="A1:O22"/>
  <sheetViews>
    <sheetView workbookViewId="0">
      <selection activeCell="K6" sqref="K6"/>
    </sheetView>
  </sheetViews>
  <sheetFormatPr defaultRowHeight="15" x14ac:dyDescent="0.25"/>
  <cols>
    <col min="1" max="1" width="9.7109375" bestFit="1" customWidth="1"/>
    <col min="2" max="2" width="17.5703125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6.42578125" bestFit="1" customWidth="1"/>
    <col min="7" max="7" width="16" bestFit="1" customWidth="1"/>
  </cols>
  <sheetData>
    <row r="1" spans="1:15" ht="18" thickBot="1" x14ac:dyDescent="0.3">
      <c r="A1" s="11" t="s">
        <v>72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83</v>
      </c>
      <c r="G1" s="11" t="s">
        <v>77</v>
      </c>
    </row>
    <row r="2" spans="1:15" ht="18" thickBot="1" x14ac:dyDescent="0.3">
      <c r="A2" s="19">
        <v>1</v>
      </c>
      <c r="B2" s="19" t="s">
        <v>78</v>
      </c>
      <c r="C2" s="19">
        <v>78</v>
      </c>
      <c r="D2" s="19">
        <v>82</v>
      </c>
      <c r="E2" s="19">
        <v>74</v>
      </c>
      <c r="F2" s="19">
        <v>234</v>
      </c>
      <c r="G2" s="22">
        <v>0.78</v>
      </c>
    </row>
    <row r="3" spans="1:15" ht="18" thickBot="1" x14ac:dyDescent="0.3">
      <c r="A3" s="20">
        <v>2</v>
      </c>
      <c r="B3" s="20" t="s">
        <v>79</v>
      </c>
      <c r="C3" s="20">
        <v>65</v>
      </c>
      <c r="D3" s="20">
        <v>70</v>
      </c>
      <c r="E3" s="20">
        <v>68</v>
      </c>
      <c r="F3" s="19">
        <v>203</v>
      </c>
      <c r="G3" s="23">
        <v>0.67666666666666664</v>
      </c>
      <c r="O3" s="21"/>
    </row>
    <row r="4" spans="1:15" ht="18" thickBot="1" x14ac:dyDescent="0.3">
      <c r="A4" s="19">
        <v>3</v>
      </c>
      <c r="B4" s="19" t="s">
        <v>80</v>
      </c>
      <c r="C4" s="19">
        <v>90</v>
      </c>
      <c r="D4" s="19">
        <v>88</v>
      </c>
      <c r="E4" s="19">
        <v>92</v>
      </c>
      <c r="F4" s="19">
        <v>270</v>
      </c>
      <c r="G4" s="22">
        <v>0.9</v>
      </c>
      <c r="M4" s="19"/>
      <c r="O4" s="21"/>
    </row>
    <row r="5" spans="1:15" ht="18" thickBot="1" x14ac:dyDescent="0.3">
      <c r="A5" s="20">
        <v>4</v>
      </c>
      <c r="B5" s="20" t="s">
        <v>81</v>
      </c>
      <c r="C5" s="20">
        <v>35</v>
      </c>
      <c r="D5" s="20">
        <v>40</v>
      </c>
      <c r="E5" s="20">
        <v>38</v>
      </c>
      <c r="F5" s="19">
        <v>113</v>
      </c>
      <c r="G5" s="23">
        <v>0.37666666666666665</v>
      </c>
      <c r="M5" s="19"/>
      <c r="O5" s="21"/>
    </row>
    <row r="6" spans="1:15" ht="18" thickBot="1" x14ac:dyDescent="0.3">
      <c r="A6" s="19">
        <v>5</v>
      </c>
      <c r="B6" s="19" t="s">
        <v>82</v>
      </c>
      <c r="C6" s="19">
        <v>55</v>
      </c>
      <c r="D6" s="19">
        <v>60</v>
      </c>
      <c r="E6" s="19">
        <v>58</v>
      </c>
      <c r="F6" s="19">
        <v>173</v>
      </c>
      <c r="G6" s="22">
        <v>0.57666666666666666</v>
      </c>
      <c r="M6" s="19"/>
      <c r="O6" s="21"/>
    </row>
    <row r="7" spans="1:15" ht="18" thickBot="1" x14ac:dyDescent="0.3">
      <c r="A7" s="20">
        <v>6</v>
      </c>
      <c r="B7" s="20" t="s">
        <v>84</v>
      </c>
      <c r="C7" s="20">
        <v>94</v>
      </c>
      <c r="D7" s="20">
        <v>82</v>
      </c>
      <c r="E7" s="20">
        <v>57</v>
      </c>
      <c r="F7" s="19">
        <v>233</v>
      </c>
      <c r="G7" s="23">
        <v>0.77666666666666662</v>
      </c>
      <c r="M7" s="19"/>
      <c r="O7" s="21"/>
    </row>
    <row r="8" spans="1:15" ht="18" thickBot="1" x14ac:dyDescent="0.3">
      <c r="A8" s="19">
        <v>7</v>
      </c>
      <c r="B8" s="19" t="s">
        <v>85</v>
      </c>
      <c r="C8" s="19">
        <v>96</v>
      </c>
      <c r="D8" s="19">
        <v>50</v>
      </c>
      <c r="E8" s="19">
        <v>59</v>
      </c>
      <c r="F8" s="19">
        <v>205</v>
      </c>
      <c r="G8" s="22">
        <v>0.68333333333333335</v>
      </c>
      <c r="M8" s="19"/>
    </row>
    <row r="9" spans="1:15" ht="18" thickBot="1" x14ac:dyDescent="0.3">
      <c r="A9" s="20">
        <v>8</v>
      </c>
      <c r="B9" s="20" t="s">
        <v>86</v>
      </c>
      <c r="C9" s="20">
        <v>95</v>
      </c>
      <c r="D9" s="20">
        <v>59</v>
      </c>
      <c r="E9" s="20">
        <v>57</v>
      </c>
      <c r="F9" s="19">
        <v>211</v>
      </c>
      <c r="G9" s="23">
        <v>0.70333333333333337</v>
      </c>
      <c r="N9" s="21"/>
    </row>
    <row r="10" spans="1:15" ht="18" thickBot="1" x14ac:dyDescent="0.3">
      <c r="A10" s="19">
        <v>9</v>
      </c>
      <c r="B10" s="19" t="s">
        <v>87</v>
      </c>
      <c r="C10" s="19">
        <v>81</v>
      </c>
      <c r="D10" s="19">
        <v>91</v>
      </c>
      <c r="E10" s="19">
        <v>67</v>
      </c>
      <c r="F10" s="19">
        <v>239</v>
      </c>
      <c r="G10" s="22">
        <v>0.79666666666666663</v>
      </c>
      <c r="N10" s="21"/>
    </row>
    <row r="11" spans="1:15" ht="18" thickBot="1" x14ac:dyDescent="0.3">
      <c r="A11" s="20">
        <v>10</v>
      </c>
      <c r="B11" s="20" t="s">
        <v>88</v>
      </c>
      <c r="C11" s="20">
        <v>44</v>
      </c>
      <c r="D11" s="20">
        <v>42</v>
      </c>
      <c r="E11" s="20">
        <v>53</v>
      </c>
      <c r="F11" s="19">
        <v>139</v>
      </c>
      <c r="G11" s="23">
        <v>0.46333333333333332</v>
      </c>
      <c r="N11" s="21"/>
    </row>
    <row r="12" spans="1:15" ht="18" thickBot="1" x14ac:dyDescent="0.3">
      <c r="A12" s="19">
        <v>11</v>
      </c>
      <c r="B12" s="19" t="s">
        <v>89</v>
      </c>
      <c r="C12" s="19">
        <v>70</v>
      </c>
      <c r="D12" s="19">
        <v>43</v>
      </c>
      <c r="E12" s="19">
        <v>87</v>
      </c>
      <c r="F12" s="19">
        <v>200</v>
      </c>
      <c r="G12" s="22">
        <v>0.66666666666666663</v>
      </c>
      <c r="N12" s="21"/>
    </row>
    <row r="13" spans="1:15" ht="18" thickBot="1" x14ac:dyDescent="0.3">
      <c r="A13" s="20">
        <v>12</v>
      </c>
      <c r="B13" s="20" t="s">
        <v>90</v>
      </c>
      <c r="C13" s="20">
        <v>73</v>
      </c>
      <c r="D13" s="20">
        <v>85</v>
      </c>
      <c r="E13" s="20">
        <v>84</v>
      </c>
      <c r="F13" s="19">
        <v>242</v>
      </c>
      <c r="G13" s="23">
        <v>0.80666666666666664</v>
      </c>
      <c r="N13" s="21"/>
    </row>
    <row r="14" spans="1:15" ht="18" thickBot="1" x14ac:dyDescent="0.3">
      <c r="A14" s="19">
        <v>13</v>
      </c>
      <c r="B14" s="19" t="s">
        <v>91</v>
      </c>
      <c r="C14" s="19">
        <v>45</v>
      </c>
      <c r="D14" s="19">
        <v>40</v>
      </c>
      <c r="E14" s="19">
        <v>60</v>
      </c>
      <c r="F14" s="19">
        <v>145</v>
      </c>
      <c r="G14" s="22">
        <v>0.48333333333333334</v>
      </c>
      <c r="N14" s="21"/>
    </row>
    <row r="15" spans="1:15" ht="18" thickBot="1" x14ac:dyDescent="0.3">
      <c r="A15" s="20">
        <v>14</v>
      </c>
      <c r="B15" s="20" t="s">
        <v>92</v>
      </c>
      <c r="C15" s="20">
        <v>36</v>
      </c>
      <c r="D15" s="20">
        <v>70</v>
      </c>
      <c r="E15" s="20">
        <v>85</v>
      </c>
      <c r="F15" s="19">
        <v>191</v>
      </c>
      <c r="G15" s="23">
        <v>0.63666666666666671</v>
      </c>
      <c r="N15" s="21"/>
    </row>
    <row r="16" spans="1:15" ht="18" thickBot="1" x14ac:dyDescent="0.3">
      <c r="A16" s="19">
        <v>15</v>
      </c>
      <c r="B16" s="19" t="s">
        <v>93</v>
      </c>
      <c r="C16" s="19">
        <v>33</v>
      </c>
      <c r="D16" s="19">
        <v>86</v>
      </c>
      <c r="E16" s="19">
        <v>51</v>
      </c>
      <c r="F16" s="19">
        <v>170</v>
      </c>
      <c r="G16" s="22">
        <v>0.56666666666666665</v>
      </c>
      <c r="N16" s="21"/>
    </row>
    <row r="17" spans="1:14" ht="18" thickBot="1" x14ac:dyDescent="0.3">
      <c r="A17" s="20">
        <v>16</v>
      </c>
      <c r="B17" s="20" t="s">
        <v>94</v>
      </c>
      <c r="C17" s="20">
        <v>96</v>
      </c>
      <c r="D17" s="20">
        <v>84</v>
      </c>
      <c r="E17" s="20">
        <v>73</v>
      </c>
      <c r="F17" s="19">
        <v>253</v>
      </c>
      <c r="G17" s="23">
        <v>0.84333333333333338</v>
      </c>
      <c r="N17" s="21"/>
    </row>
    <row r="18" spans="1:14" ht="18" thickBot="1" x14ac:dyDescent="0.3">
      <c r="A18" s="19">
        <v>17</v>
      </c>
      <c r="B18" s="19" t="s">
        <v>95</v>
      </c>
      <c r="C18" s="19">
        <v>52</v>
      </c>
      <c r="D18" s="19">
        <v>64</v>
      </c>
      <c r="E18" s="19">
        <v>68</v>
      </c>
      <c r="F18" s="19">
        <v>184</v>
      </c>
      <c r="G18" s="22">
        <v>0.61333333333333329</v>
      </c>
      <c r="N18" s="21"/>
    </row>
    <row r="19" spans="1:14" ht="18" thickBot="1" x14ac:dyDescent="0.3">
      <c r="A19" s="20">
        <v>18</v>
      </c>
      <c r="B19" s="20" t="s">
        <v>96</v>
      </c>
      <c r="C19" s="20">
        <v>77</v>
      </c>
      <c r="D19" s="20">
        <v>76</v>
      </c>
      <c r="E19" s="20">
        <v>58</v>
      </c>
      <c r="F19" s="19">
        <v>211</v>
      </c>
      <c r="G19" s="23">
        <v>0.70333333333333337</v>
      </c>
      <c r="N19" s="21"/>
    </row>
    <row r="20" spans="1:14" ht="18" thickBot="1" x14ac:dyDescent="0.3">
      <c r="A20" s="19">
        <v>19</v>
      </c>
      <c r="B20" s="19" t="s">
        <v>97</v>
      </c>
      <c r="C20" s="19">
        <v>78</v>
      </c>
      <c r="D20" s="19">
        <v>76</v>
      </c>
      <c r="E20" s="19">
        <v>63</v>
      </c>
      <c r="F20" s="19">
        <v>217</v>
      </c>
      <c r="G20" s="22">
        <v>0.72333333333333338</v>
      </c>
      <c r="N20" s="21"/>
    </row>
    <row r="21" spans="1:14" x14ac:dyDescent="0.25">
      <c r="N21" s="21"/>
    </row>
    <row r="22" spans="1:14" x14ac:dyDescent="0.25">
      <c r="N22" s="21"/>
    </row>
  </sheetData>
  <conditionalFormatting sqref="G2:G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{B1EAA130-B3D7-4E82-ABA1-D153415E9EB0}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EAA130-B3D7-4E82-ABA1-D153415E9E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E41F-D3BC-4221-993E-8C3DC2528482}">
  <dimension ref="A1:L24"/>
  <sheetViews>
    <sheetView workbookViewId="0">
      <selection activeCell="H2" sqref="H2:L6"/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16.85546875" bestFit="1" customWidth="1"/>
  </cols>
  <sheetData>
    <row r="1" spans="1:12" ht="18" thickBot="1" x14ac:dyDescent="0.3">
      <c r="A1" s="11" t="s">
        <v>98</v>
      </c>
      <c r="B1" s="11" t="s">
        <v>99</v>
      </c>
      <c r="C1" s="11" t="s">
        <v>69</v>
      </c>
    </row>
    <row r="2" spans="1:12" ht="18" thickBot="1" x14ac:dyDescent="0.3">
      <c r="A2" s="24" t="s">
        <v>100</v>
      </c>
      <c r="B2" s="25">
        <v>45292</v>
      </c>
      <c r="C2" s="24">
        <v>12000</v>
      </c>
      <c r="H2" s="35" t="s">
        <v>123</v>
      </c>
      <c r="I2" s="36"/>
      <c r="J2" s="36"/>
      <c r="K2" s="36"/>
      <c r="L2" s="36"/>
    </row>
    <row r="3" spans="1:12" ht="18" thickBot="1" x14ac:dyDescent="0.3">
      <c r="A3" s="26" t="s">
        <v>101</v>
      </c>
      <c r="B3" s="27">
        <v>45294</v>
      </c>
      <c r="C3" s="26">
        <v>25000</v>
      </c>
      <c r="H3" s="36"/>
      <c r="I3" s="36"/>
      <c r="J3" s="36"/>
      <c r="K3" s="36"/>
      <c r="L3" s="36"/>
    </row>
    <row r="4" spans="1:12" ht="18" thickBot="1" x14ac:dyDescent="0.3">
      <c r="A4" s="24" t="s">
        <v>102</v>
      </c>
      <c r="B4" s="25">
        <v>45296</v>
      </c>
      <c r="C4" s="24">
        <v>8000</v>
      </c>
      <c r="H4" s="36"/>
      <c r="I4" s="36"/>
      <c r="J4" s="36"/>
      <c r="K4" s="36"/>
      <c r="L4" s="36"/>
    </row>
    <row r="5" spans="1:12" ht="18" thickBot="1" x14ac:dyDescent="0.3">
      <c r="A5" s="26" t="s">
        <v>103</v>
      </c>
      <c r="B5" s="27">
        <v>45299</v>
      </c>
      <c r="C5" s="26">
        <v>32000</v>
      </c>
      <c r="H5" s="36"/>
      <c r="I5" s="36"/>
      <c r="J5" s="36"/>
      <c r="K5" s="36"/>
      <c r="L5" s="36"/>
    </row>
    <row r="6" spans="1:12" ht="18" thickBot="1" x14ac:dyDescent="0.3">
      <c r="A6" s="24" t="s">
        <v>104</v>
      </c>
      <c r="B6" s="25">
        <v>45301</v>
      </c>
      <c r="C6" s="24">
        <v>15000</v>
      </c>
      <c r="H6" s="36"/>
      <c r="I6" s="36"/>
      <c r="J6" s="36"/>
      <c r="K6" s="36"/>
      <c r="L6" s="36"/>
    </row>
    <row r="7" spans="1:12" ht="18" thickBot="1" x14ac:dyDescent="0.3">
      <c r="A7" s="26" t="s">
        <v>105</v>
      </c>
      <c r="B7" s="27">
        <v>46306</v>
      </c>
      <c r="C7" s="26">
        <v>35675</v>
      </c>
    </row>
    <row r="8" spans="1:12" ht="21.75" thickBot="1" x14ac:dyDescent="0.3">
      <c r="A8" s="24" t="s">
        <v>106</v>
      </c>
      <c r="B8" s="25">
        <v>45565</v>
      </c>
      <c r="C8" s="24">
        <v>39172</v>
      </c>
      <c r="H8" s="28"/>
    </row>
    <row r="9" spans="1:12" ht="21.75" thickBot="1" x14ac:dyDescent="0.3">
      <c r="A9" s="26" t="s">
        <v>107</v>
      </c>
      <c r="B9" s="27">
        <v>44141</v>
      </c>
      <c r="C9" s="26">
        <v>23369</v>
      </c>
      <c r="H9" s="28"/>
    </row>
    <row r="10" spans="1:12" ht="21.75" thickBot="1" x14ac:dyDescent="0.3">
      <c r="A10" s="24" t="s">
        <v>108</v>
      </c>
      <c r="B10" s="25">
        <v>46066</v>
      </c>
      <c r="C10" s="24">
        <v>27928</v>
      </c>
      <c r="H10" s="28"/>
    </row>
    <row r="11" spans="1:12" ht="21.75" thickBot="1" x14ac:dyDescent="0.3">
      <c r="A11" s="26" t="s">
        <v>109</v>
      </c>
      <c r="B11" s="27">
        <v>45418</v>
      </c>
      <c r="C11" s="26">
        <v>21935</v>
      </c>
      <c r="H11" s="28"/>
    </row>
    <row r="12" spans="1:12" ht="18" thickBot="1" x14ac:dyDescent="0.3">
      <c r="A12" s="24" t="s">
        <v>110</v>
      </c>
      <c r="B12" s="25">
        <v>45536</v>
      </c>
      <c r="C12" s="24">
        <v>21583</v>
      </c>
    </row>
    <row r="13" spans="1:12" ht="18" thickBot="1" x14ac:dyDescent="0.3">
      <c r="A13" s="26" t="s">
        <v>111</v>
      </c>
      <c r="B13" s="27">
        <v>46539</v>
      </c>
      <c r="C13" s="26">
        <v>35638</v>
      </c>
    </row>
    <row r="14" spans="1:12" ht="18" thickBot="1" x14ac:dyDescent="0.3">
      <c r="A14" s="24" t="s">
        <v>112</v>
      </c>
      <c r="B14" s="25">
        <v>44726</v>
      </c>
      <c r="C14" s="24">
        <v>76777</v>
      </c>
    </row>
    <row r="15" spans="1:12" ht="18" thickBot="1" x14ac:dyDescent="0.3">
      <c r="A15" s="26" t="s">
        <v>113</v>
      </c>
      <c r="B15" s="27">
        <v>44551</v>
      </c>
      <c r="C15" s="26">
        <v>19095</v>
      </c>
    </row>
    <row r="16" spans="1:12" ht="18" thickBot="1" x14ac:dyDescent="0.3">
      <c r="A16" s="24" t="s">
        <v>114</v>
      </c>
      <c r="B16" s="25">
        <v>45482</v>
      </c>
      <c r="C16" s="24">
        <v>35578</v>
      </c>
    </row>
    <row r="17" spans="1:3" ht="18" thickBot="1" x14ac:dyDescent="0.3">
      <c r="A17" s="26" t="s">
        <v>115</v>
      </c>
      <c r="B17" s="27">
        <v>45059</v>
      </c>
      <c r="C17" s="26">
        <v>71512</v>
      </c>
    </row>
    <row r="18" spans="1:3" ht="18" thickBot="1" x14ac:dyDescent="0.3">
      <c r="A18" s="24" t="s">
        <v>116</v>
      </c>
      <c r="B18" s="25">
        <v>44876</v>
      </c>
      <c r="C18" s="24">
        <v>34417</v>
      </c>
    </row>
    <row r="19" spans="1:3" ht="18" thickBot="1" x14ac:dyDescent="0.3">
      <c r="A19" s="26" t="s">
        <v>117</v>
      </c>
      <c r="B19" s="27">
        <v>44154</v>
      </c>
      <c r="C19" s="26">
        <v>39843</v>
      </c>
    </row>
    <row r="20" spans="1:3" ht="18" thickBot="1" x14ac:dyDescent="0.3">
      <c r="A20" s="24" t="s">
        <v>118</v>
      </c>
      <c r="B20" s="25">
        <v>44139</v>
      </c>
      <c r="C20" s="24">
        <v>17804</v>
      </c>
    </row>
    <row r="21" spans="1:3" x14ac:dyDescent="0.25">
      <c r="A21" s="33" t="s">
        <v>119</v>
      </c>
      <c r="B21" s="33"/>
      <c r="C21">
        <f>SUM(C2:C20)</f>
        <v>592326</v>
      </c>
    </row>
    <row r="22" spans="1:3" x14ac:dyDescent="0.25">
      <c r="A22" s="33" t="s">
        <v>120</v>
      </c>
      <c r="B22" s="33"/>
      <c r="C22">
        <f>AVERAGE(C2:C20)</f>
        <v>31175.052631578947</v>
      </c>
    </row>
    <row r="23" spans="1:3" x14ac:dyDescent="0.25">
      <c r="A23" s="33" t="s">
        <v>121</v>
      </c>
      <c r="B23" s="33"/>
      <c r="C23">
        <f>MAX(C1:C20)</f>
        <v>76777</v>
      </c>
    </row>
    <row r="24" spans="1:3" x14ac:dyDescent="0.25">
      <c r="A24" s="34" t="s">
        <v>122</v>
      </c>
      <c r="B24" s="34"/>
      <c r="C24">
        <f>MIN(C2:C20)</f>
        <v>8000</v>
      </c>
    </row>
  </sheetData>
  <mergeCells count="5">
    <mergeCell ref="A21:B21"/>
    <mergeCell ref="A22:B22"/>
    <mergeCell ref="A23:B23"/>
    <mergeCell ref="A24:B24"/>
    <mergeCell ref="H2:L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4BD1-63DC-4FDC-B039-E4CF69FEF365}">
  <dimension ref="A1:C26"/>
  <sheetViews>
    <sheetView tabSelected="1" workbookViewId="0">
      <selection activeCell="B22" sqref="B22"/>
    </sheetView>
  </sheetViews>
  <sheetFormatPr defaultRowHeight="15" x14ac:dyDescent="0.25"/>
  <sheetData>
    <row r="1" spans="1:3" ht="18" thickBot="1" x14ac:dyDescent="0.3">
      <c r="A1" s="11" t="s">
        <v>124</v>
      </c>
      <c r="B1" s="11" t="s">
        <v>2</v>
      </c>
      <c r="C1" s="11" t="s">
        <v>3</v>
      </c>
    </row>
    <row r="2" spans="1:3" ht="18" thickBot="1" x14ac:dyDescent="0.3">
      <c r="A2" s="24" t="s">
        <v>126</v>
      </c>
      <c r="B2" s="30" t="s">
        <v>13</v>
      </c>
      <c r="C2" s="26">
        <v>45000</v>
      </c>
    </row>
    <row r="3" spans="1:3" ht="18" thickBot="1" x14ac:dyDescent="0.3">
      <c r="A3" s="29" t="s">
        <v>127</v>
      </c>
      <c r="B3" s="30" t="s">
        <v>13</v>
      </c>
      <c r="C3" s="29">
        <v>50000</v>
      </c>
    </row>
    <row r="4" spans="1:3" ht="18" thickBot="1" x14ac:dyDescent="0.3">
      <c r="A4" s="24" t="s">
        <v>125</v>
      </c>
      <c r="B4" s="24" t="s">
        <v>7</v>
      </c>
      <c r="C4" s="24">
        <v>28000</v>
      </c>
    </row>
    <row r="5" spans="1:3" ht="18" thickBot="1" x14ac:dyDescent="0.3">
      <c r="A5" s="29" t="s">
        <v>128</v>
      </c>
      <c r="B5" s="29" t="s">
        <v>7</v>
      </c>
      <c r="C5" s="30">
        <v>42000</v>
      </c>
    </row>
    <row r="6" spans="1:3" ht="18" thickBot="1" x14ac:dyDescent="0.3">
      <c r="A6" s="29" t="s">
        <v>129</v>
      </c>
      <c r="B6" s="29" t="s">
        <v>7</v>
      </c>
      <c r="C6" s="29">
        <v>30000</v>
      </c>
    </row>
    <row r="7" spans="1:3" ht="18" thickBot="1" x14ac:dyDescent="0.3">
      <c r="A7" s="29" t="s">
        <v>130</v>
      </c>
      <c r="B7" s="30" t="s">
        <v>7</v>
      </c>
      <c r="C7" s="30">
        <v>38000</v>
      </c>
    </row>
    <row r="8" spans="1:3" ht="18" thickBot="1" x14ac:dyDescent="0.3">
      <c r="A8" s="29" t="s">
        <v>131</v>
      </c>
      <c r="B8" s="29" t="s">
        <v>7</v>
      </c>
      <c r="C8" s="29">
        <v>73413</v>
      </c>
    </row>
    <row r="9" spans="1:3" ht="18" thickBot="1" x14ac:dyDescent="0.3">
      <c r="A9" s="29" t="s">
        <v>132</v>
      </c>
      <c r="B9" s="26" t="s">
        <v>10</v>
      </c>
      <c r="C9" s="30">
        <v>60147</v>
      </c>
    </row>
    <row r="10" spans="1:3" ht="18" thickBot="1" x14ac:dyDescent="0.3">
      <c r="A10" s="29" t="s">
        <v>133</v>
      </c>
      <c r="B10" s="29" t="s">
        <v>10</v>
      </c>
      <c r="C10" s="29">
        <v>38432</v>
      </c>
    </row>
    <row r="11" spans="1:3" ht="18" thickBot="1" x14ac:dyDescent="0.3">
      <c r="A11" s="29" t="s">
        <v>134</v>
      </c>
      <c r="B11" s="29" t="s">
        <v>10</v>
      </c>
      <c r="C11" s="30">
        <v>33492</v>
      </c>
    </row>
    <row r="12" spans="1:3" ht="18" thickBot="1" x14ac:dyDescent="0.3">
      <c r="A12" s="29" t="s">
        <v>135</v>
      </c>
      <c r="B12" s="30" t="s">
        <v>10</v>
      </c>
      <c r="C12" s="29">
        <v>30441</v>
      </c>
    </row>
    <row r="13" spans="1:3" ht="18" thickBot="1" x14ac:dyDescent="0.3">
      <c r="A13" s="29" t="s">
        <v>132</v>
      </c>
      <c r="B13" s="30" t="s">
        <v>10</v>
      </c>
      <c r="C13" s="30">
        <v>27245</v>
      </c>
    </row>
    <row r="14" spans="1:3" ht="18" thickBot="1" x14ac:dyDescent="0.3">
      <c r="A14" s="29" t="s">
        <v>134</v>
      </c>
      <c r="B14" s="29" t="s">
        <v>10</v>
      </c>
      <c r="C14" s="29">
        <v>59734</v>
      </c>
    </row>
    <row r="15" spans="1:3" ht="18" thickBot="1" x14ac:dyDescent="0.3">
      <c r="A15" s="29" t="s">
        <v>133</v>
      </c>
      <c r="B15" s="30" t="s">
        <v>10</v>
      </c>
      <c r="C15" s="30">
        <v>77959</v>
      </c>
    </row>
    <row r="16" spans="1:3" ht="18" thickBot="1" x14ac:dyDescent="0.3">
      <c r="A16" s="29" t="s">
        <v>130</v>
      </c>
      <c r="B16" s="29" t="s">
        <v>10</v>
      </c>
      <c r="C16" s="29">
        <v>28376</v>
      </c>
    </row>
    <row r="17" spans="1:3" ht="18" thickBot="1" x14ac:dyDescent="0.3">
      <c r="A17" s="29" t="s">
        <v>128</v>
      </c>
      <c r="B17" s="29" t="s">
        <v>10</v>
      </c>
      <c r="C17" s="30">
        <v>71554</v>
      </c>
    </row>
    <row r="18" spans="1:3" ht="18" thickBot="1" x14ac:dyDescent="0.3">
      <c r="A18" s="29" t="s">
        <v>125</v>
      </c>
      <c r="B18" s="30" t="s">
        <v>10</v>
      </c>
      <c r="C18" s="29">
        <v>41382</v>
      </c>
    </row>
    <row r="19" spans="1:3" ht="18" thickBot="1" x14ac:dyDescent="0.3">
      <c r="A19" s="29" t="s">
        <v>126</v>
      </c>
      <c r="B19" s="30" t="s">
        <v>10</v>
      </c>
      <c r="C19" s="30">
        <v>71747</v>
      </c>
    </row>
    <row r="20" spans="1:3" ht="18" thickBot="1" x14ac:dyDescent="0.3">
      <c r="A20" s="29" t="s">
        <v>129</v>
      </c>
      <c r="B20" s="29" t="s">
        <v>10</v>
      </c>
      <c r="C20" s="29">
        <v>76775</v>
      </c>
    </row>
    <row r="21" spans="1:3" ht="17.25" customHeight="1" x14ac:dyDescent="0.25">
      <c r="A21" s="37"/>
      <c r="B21" s="37"/>
      <c r="C21" s="37"/>
    </row>
    <row r="22" spans="1:3" ht="15" customHeight="1" x14ac:dyDescent="0.25">
      <c r="A22" s="38"/>
      <c r="B22" s="38"/>
      <c r="C22" s="38"/>
    </row>
    <row r="23" spans="1:3" ht="15" customHeight="1" x14ac:dyDescent="0.25">
      <c r="A23" s="38"/>
      <c r="B23" s="38"/>
      <c r="C23" s="38"/>
    </row>
    <row r="24" spans="1:3" ht="15" customHeight="1" x14ac:dyDescent="0.25">
      <c r="A24" s="38"/>
      <c r="B24" s="38"/>
      <c r="C24" s="38"/>
    </row>
    <row r="25" spans="1:3" ht="15" customHeight="1" x14ac:dyDescent="0.25">
      <c r="A25" s="38"/>
      <c r="B25" s="38"/>
      <c r="C25" s="38"/>
    </row>
    <row r="26" spans="1:3" ht="15" customHeight="1" x14ac:dyDescent="0.25">
      <c r="A26" s="38"/>
      <c r="B26" s="38"/>
      <c r="C26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ASDC7</cp:lastModifiedBy>
  <dcterms:created xsi:type="dcterms:W3CDTF">2026-01-25T04:37:07Z</dcterms:created>
  <dcterms:modified xsi:type="dcterms:W3CDTF">2026-01-25T07:15:10Z</dcterms:modified>
</cp:coreProperties>
</file>