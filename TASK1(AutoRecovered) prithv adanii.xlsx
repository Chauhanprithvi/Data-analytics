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CHAUHAN PRITHVI\Downloads\"/>
    </mc:Choice>
  </mc:AlternateContent>
  <xr:revisionPtr revIDLastSave="0" documentId="8_{ADF02E25-3A21-475A-A323-A73BA57396A8}" xr6:coauthVersionLast="47" xr6:coauthVersionMax="47" xr10:uidLastSave="{00000000-0000-0000-0000-000000000000}"/>
  <bookViews>
    <workbookView xWindow="-108" yWindow="-108" windowWidth="23256" windowHeight="12456" firstSheet="2" activeTab="9" xr2:uid="{00000000-000D-0000-FFFF-FFFF00000000}"/>
  </bookViews>
  <sheets>
    <sheet name="Sheet1" sheetId="1" r:id="rId1"/>
    <sheet name="Sheet2" sheetId="2" r:id="rId2"/>
    <sheet name="Sheet3" sheetId="3" r:id="rId3"/>
    <sheet name="sheet5" sheetId="6" r:id="rId4"/>
    <sheet name="Sheet4" sheetId="4" r:id="rId5"/>
    <sheet name="Sheet6" sheetId="7" r:id="rId6"/>
    <sheet name="Sheet7" sheetId="8" r:id="rId7"/>
    <sheet name="Sheet8" sheetId="9" r:id="rId8"/>
    <sheet name="Sheet9" sheetId="10" r:id="rId9"/>
    <sheet name="Sheet10" sheetId="11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4" i="6" l="1"/>
  <c r="H13" i="6"/>
  <c r="H12" i="6"/>
  <c r="H11" i="6"/>
  <c r="H10" i="6"/>
  <c r="C24" i="4"/>
  <c r="C23" i="4"/>
  <c r="C22" i="4"/>
  <c r="C21" i="4"/>
</calcChain>
</file>

<file path=xl/sharedStrings.xml><?xml version="1.0" encoding="utf-8"?>
<sst xmlns="http://schemas.openxmlformats.org/spreadsheetml/2006/main" count="433" uniqueCount="196">
  <si>
    <t>Employee ID</t>
  </si>
  <si>
    <t>Name</t>
  </si>
  <si>
    <t>Department</t>
  </si>
  <si>
    <t>Salary</t>
  </si>
  <si>
    <t>Joining Date</t>
  </si>
  <si>
    <t>E101</t>
  </si>
  <si>
    <t>Amit Sharma</t>
  </si>
  <si>
    <t>HR</t>
  </si>
  <si>
    <t>E102</t>
  </si>
  <si>
    <t>Neha Verma</t>
  </si>
  <si>
    <t>IT</t>
  </si>
  <si>
    <t>E103</t>
  </si>
  <si>
    <t>Rahul Mehta</t>
  </si>
  <si>
    <t>Finance</t>
  </si>
  <si>
    <t>E104</t>
  </si>
  <si>
    <t>Pooja Singh</t>
  </si>
  <si>
    <t>E105</t>
  </si>
  <si>
    <t>Ankit Patel</t>
  </si>
  <si>
    <t>Sales</t>
  </si>
  <si>
    <t>E106</t>
  </si>
  <si>
    <t>Amit sharma</t>
  </si>
  <si>
    <t>E107</t>
  </si>
  <si>
    <t>Rahul mehta</t>
  </si>
  <si>
    <t>E108</t>
  </si>
  <si>
    <t>Pooja singh</t>
  </si>
  <si>
    <t>Financ</t>
  </si>
  <si>
    <t>E109</t>
  </si>
  <si>
    <t>Ankit patel</t>
  </si>
  <si>
    <t>E110</t>
  </si>
  <si>
    <t>E111</t>
  </si>
  <si>
    <t>E112</t>
  </si>
  <si>
    <t>E113</t>
  </si>
  <si>
    <t>E114</t>
  </si>
  <si>
    <t>E115</t>
  </si>
  <si>
    <t>E116</t>
  </si>
  <si>
    <t>Neha verma</t>
  </si>
  <si>
    <t>E117</t>
  </si>
  <si>
    <t>E118</t>
  </si>
  <si>
    <t>E119</t>
  </si>
  <si>
    <t>Monthly Sales Report</t>
  </si>
  <si>
    <t>Product Name</t>
  </si>
  <si>
    <t>Region</t>
  </si>
  <si>
    <t>Sales Amount</t>
  </si>
  <si>
    <t>Salesperson</t>
  </si>
  <si>
    <t>Laptop Dell Inspiron 15</t>
  </si>
  <si>
    <t>North</t>
  </si>
  <si>
    <t>Ramesh</t>
  </si>
  <si>
    <t>HP Wireless Mouse</t>
  </si>
  <si>
    <t>West</t>
  </si>
  <si>
    <t>Sneha</t>
  </si>
  <si>
    <t>Samsung 24-inch Monitor</t>
  </si>
  <si>
    <t>East</t>
  </si>
  <si>
    <t>Arjun</t>
  </si>
  <si>
    <t>Lenovo ThinkPad E14 Laptop</t>
  </si>
  <si>
    <t>South</t>
  </si>
  <si>
    <t>Kavita</t>
  </si>
  <si>
    <t>oppoa78</t>
  </si>
  <si>
    <t>iphone5</t>
  </si>
  <si>
    <t>iphone6</t>
  </si>
  <si>
    <t>iphone7</t>
  </si>
  <si>
    <t>iphone8</t>
  </si>
  <si>
    <t>iphone9</t>
  </si>
  <si>
    <t>iphone10</t>
  </si>
  <si>
    <t>iphone11</t>
  </si>
  <si>
    <t>iphone12</t>
  </si>
  <si>
    <t>iphone12max</t>
  </si>
  <si>
    <t>iphone12promax</t>
  </si>
  <si>
    <t>iphone13</t>
  </si>
  <si>
    <t>iphone14</t>
  </si>
  <si>
    <t>iphone15</t>
  </si>
  <si>
    <t>iphone16</t>
  </si>
  <si>
    <t>iphone17</t>
  </si>
  <si>
    <t>Roll No</t>
  </si>
  <si>
    <t>Student Name</t>
  </si>
  <si>
    <t>Maths</t>
  </si>
  <si>
    <t>Science</t>
  </si>
  <si>
    <t>English</t>
  </si>
  <si>
    <t>total</t>
  </si>
  <si>
    <t>Percentage</t>
  </si>
  <si>
    <t>Aakash</t>
  </si>
  <si>
    <t>Bhavya</t>
  </si>
  <si>
    <t>Chirag</t>
  </si>
  <si>
    <t>Divya</t>
  </si>
  <si>
    <t>Esha</t>
  </si>
  <si>
    <t>prithvi</t>
  </si>
  <si>
    <t>ravi</t>
  </si>
  <si>
    <t>hitesh</t>
  </si>
  <si>
    <t>tushar</t>
  </si>
  <si>
    <t>rajat</t>
  </si>
  <si>
    <t>jeel</t>
  </si>
  <si>
    <t>dixit</t>
  </si>
  <si>
    <t>renish</t>
  </si>
  <si>
    <t>pankaj</t>
  </si>
  <si>
    <t>jay</t>
  </si>
  <si>
    <t>jaimin</t>
  </si>
  <si>
    <t>veeru</t>
  </si>
  <si>
    <t>sunny</t>
  </si>
  <si>
    <t>krishna</t>
  </si>
  <si>
    <t>Invoice No</t>
  </si>
  <si>
    <t>Date</t>
  </si>
  <si>
    <t>INV001</t>
  </si>
  <si>
    <t>Task
Calculate Total Sales
Find Average Sales
Identify Highest &amp; Lowest Sale</t>
  </si>
  <si>
    <t>INV002</t>
  </si>
  <si>
    <t>INV003</t>
  </si>
  <si>
    <t>INV004</t>
  </si>
  <si>
    <t>INV005</t>
  </si>
  <si>
    <t>INV006</t>
  </si>
  <si>
    <t>INV007</t>
  </si>
  <si>
    <t>INV008</t>
  </si>
  <si>
    <t>INV009</t>
  </si>
  <si>
    <t>INV010</t>
  </si>
  <si>
    <t>INV011</t>
  </si>
  <si>
    <t>INV012</t>
  </si>
  <si>
    <t>INV013</t>
  </si>
  <si>
    <t>INV014</t>
  </si>
  <si>
    <t>INV015</t>
  </si>
  <si>
    <t>INV016</t>
  </si>
  <si>
    <t>INV017</t>
  </si>
  <si>
    <t>INV018</t>
  </si>
  <si>
    <t>INV019</t>
  </si>
  <si>
    <t>TOTAL SALESH</t>
  </si>
  <si>
    <t>AVRAGE SALARY</t>
  </si>
  <si>
    <t>HIGHEST SALES</t>
  </si>
  <si>
    <t>LOWEST SALES</t>
  </si>
  <si>
    <t>Employee Name</t>
  </si>
  <si>
    <t>Meena</t>
  </si>
  <si>
    <t>Karan</t>
  </si>
  <si>
    <t>Suresh</t>
  </si>
  <si>
    <t>Ritu</t>
  </si>
  <si>
    <t>Aman</t>
  </si>
  <si>
    <t>Neel</t>
  </si>
  <si>
    <t>Prithvi</t>
  </si>
  <si>
    <t>TOTAL
FINACNCE DEPARTMENT
HR DEPARTMENT
IT DEPARTMENT
AVRAGE SALARY
TOTAL EMPLOYEE</t>
  </si>
  <si>
    <t>Hitesh</t>
  </si>
  <si>
    <t>Ravi</t>
  </si>
  <si>
    <t>Tushar</t>
  </si>
  <si>
    <t>Pankaj</t>
  </si>
  <si>
    <t>Day 1</t>
  </si>
  <si>
    <t>Day 2</t>
  </si>
  <si>
    <t>Day 3</t>
  </si>
  <si>
    <t>Day 4</t>
  </si>
  <si>
    <t>Day 5</t>
  </si>
  <si>
    <t>P</t>
  </si>
  <si>
    <t>A</t>
  </si>
  <si>
    <t>PRESENT DAT TOTAL</t>
  </si>
  <si>
    <t>ABSENT DAT TOTAL</t>
  </si>
  <si>
    <t>O101</t>
  </si>
  <si>
    <t>O102</t>
  </si>
  <si>
    <t>O103</t>
  </si>
  <si>
    <t>O104</t>
  </si>
  <si>
    <t>O105</t>
  </si>
  <si>
    <t>O106</t>
  </si>
  <si>
    <t>O107</t>
  </si>
  <si>
    <t>O108</t>
  </si>
  <si>
    <t>O109</t>
  </si>
  <si>
    <t>O110</t>
  </si>
  <si>
    <t>O111</t>
  </si>
  <si>
    <t>O112</t>
  </si>
  <si>
    <t>O113</t>
  </si>
  <si>
    <t>O114</t>
  </si>
  <si>
    <t>O115</t>
  </si>
  <si>
    <t>O116</t>
  </si>
  <si>
    <t>O117</t>
  </si>
  <si>
    <t>O118</t>
  </si>
  <si>
    <t>O119</t>
  </si>
  <si>
    <t>O120</t>
  </si>
  <si>
    <t>O121</t>
  </si>
  <si>
    <t>COUNT SALES ABOVE 5000</t>
  </si>
  <si>
    <t>LES BELOW 5000</t>
  </si>
  <si>
    <t>COUNT SALES ABOVE 10000</t>
  </si>
  <si>
    <t>Product</t>
  </si>
  <si>
    <t>Mobile</t>
  </si>
  <si>
    <t>Headphones</t>
  </si>
  <si>
    <t>Laptop</t>
  </si>
  <si>
    <t>Keyboard</t>
  </si>
  <si>
    <t>Tablet</t>
  </si>
  <si>
    <t>Marks</t>
  </si>
  <si>
    <t>Bharti</t>
  </si>
  <si>
    <t>Chetan</t>
  </si>
  <si>
    <t>Deepa</t>
  </si>
  <si>
    <t>Farhan</t>
  </si>
  <si>
    <t>Rohit</t>
  </si>
  <si>
    <t>Simran</t>
  </si>
  <si>
    <t>Vijay</t>
  </si>
  <si>
    <t>Nisha</t>
  </si>
  <si>
    <t>Mohan</t>
  </si>
  <si>
    <t>Pooja</t>
  </si>
  <si>
    <t>Task</t>
  </si>
  <si>
    <t>≥ 50000 → Dark Green</t>
  </si>
  <si>
    <t>30000–49999 → Yellow</t>
  </si>
  <si>
    <t>&lt; 30000 → Light Red</t>
  </si>
  <si>
    <t>Marks ≥ 75 → Green</t>
  </si>
  <si>
    <t>Marks &lt; 40 → Red</t>
  </si>
  <si>
    <t>TASK</t>
  </si>
  <si>
    <t>Highlight sales &gt; 20000 (Green)</t>
  </si>
  <si>
    <t>Highlight sales &lt; 5000 (Red)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</si>
</sst>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1F2328"/>
      <name val="Segoe UI"/>
      <charset val="134"/>
    </font>
    <font>
      <sz val="20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22"/>
      <color theme="1"/>
      <name val="Calibri"/>
      <charset val="134"/>
      <scheme val="minor"/>
    </font>
    <font>
      <sz val="13.75"/>
      <color rgb="FF1F2328"/>
      <name val="Segoe UI"/>
      <charset val="134"/>
    </font>
    <font>
      <sz val="26"/>
      <color theme="1"/>
      <name val="Calibri"/>
      <charset val="134"/>
      <scheme val="minor"/>
    </font>
    <font>
      <b/>
      <sz val="12"/>
      <color rgb="FF1F2328"/>
      <name val="Segoe UI"/>
      <charset val="134"/>
    </font>
    <font>
      <sz val="11"/>
      <color theme="1"/>
      <name val="Calibri"/>
      <charset val="134"/>
      <scheme val="minor"/>
    </font>
    <font>
      <u/>
      <sz val="12"/>
      <color theme="1"/>
      <name val="Segoe UI"/>
      <family val="2"/>
    </font>
    <font>
      <b/>
      <u/>
      <sz val="12"/>
      <color theme="1"/>
      <name val="Segoe UI"/>
      <family val="2"/>
    </font>
    <font>
      <sz val="10"/>
      <color rgb="FF1F2328"/>
      <name val="Segoe U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1F2328"/>
      <name val="Segoe UI"/>
      <family val="2"/>
    </font>
    <font>
      <sz val="10"/>
      <color theme="1"/>
      <name val="Segoe UI"/>
      <family val="2"/>
    </font>
    <font>
      <sz val="10"/>
      <color theme="1"/>
      <name val="Segoe UI"/>
      <family val="2"/>
    </font>
    <font>
      <sz val="10"/>
      <color theme="1"/>
      <name val="Calibri"/>
      <family val="2"/>
      <scheme val="minor"/>
    </font>
    <font>
      <sz val="13.75"/>
      <color theme="1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rgb="FF3D444D"/>
      </left>
      <right style="medium">
        <color rgb="FF3D444D"/>
      </right>
      <top style="medium">
        <color rgb="FF3D444D"/>
      </top>
      <bottom style="medium">
        <color rgb="FF3D444D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/>
      <right/>
      <top style="medium">
        <color rgb="FFD1D9E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D1D9E0"/>
      </left>
      <right/>
      <top style="medium">
        <color rgb="FFD1D9E0"/>
      </top>
      <bottom style="medium">
        <color rgb="FFD1D9E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73">
    <xf numFmtId="0" fontId="0" fillId="0" borderId="0" xfId="0"/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5" fillId="0" borderId="0" xfId="0" applyFont="1"/>
    <xf numFmtId="0" fontId="6" fillId="6" borderId="0" xfId="0" applyFont="1" applyFill="1"/>
    <xf numFmtId="0" fontId="3" fillId="3" borderId="3" xfId="0" applyFont="1" applyFill="1" applyBorder="1" applyAlignment="1">
      <alignment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14" fontId="3" fillId="3" borderId="2" xfId="0" applyNumberFormat="1" applyFont="1" applyFill="1" applyBorder="1" applyAlignment="1">
      <alignment horizontal="center" vertical="center" wrapText="1"/>
    </xf>
    <xf numFmtId="14" fontId="3" fillId="4" borderId="2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3" fillId="3" borderId="2" xfId="0" applyFont="1" applyFill="1" applyBorder="1" applyAlignment="1">
      <alignment horizontal="left" vertical="center" wrapText="1" indent="1"/>
    </xf>
    <xf numFmtId="9" fontId="3" fillId="3" borderId="2" xfId="1" applyFont="1" applyFill="1" applyBorder="1" applyAlignment="1">
      <alignment horizontal="left" vertical="center" wrapText="1" indent="1"/>
    </xf>
    <xf numFmtId="0" fontId="3" fillId="4" borderId="2" xfId="0" applyFont="1" applyFill="1" applyBorder="1" applyAlignment="1">
      <alignment horizontal="left" vertical="center" wrapText="1" indent="1"/>
    </xf>
    <xf numFmtId="9" fontId="3" fillId="4" borderId="2" xfId="1" applyFont="1" applyFill="1" applyBorder="1" applyAlignment="1">
      <alignment horizontal="left" vertical="center" wrapText="1" indent="1"/>
    </xf>
    <xf numFmtId="10" fontId="0" fillId="0" borderId="0" xfId="0" applyNumberFormat="1"/>
    <xf numFmtId="0" fontId="3" fillId="3" borderId="4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 wrapText="1"/>
    </xf>
    <xf numFmtId="164" fontId="0" fillId="3" borderId="4" xfId="0" applyNumberFormat="1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 wrapText="1"/>
    </xf>
    <xf numFmtId="164" fontId="0" fillId="4" borderId="4" xfId="0" applyNumberFormat="1" applyFill="1" applyBorder="1" applyAlignment="1">
      <alignment horizontal="center" vertical="center" wrapText="1"/>
    </xf>
    <xf numFmtId="0" fontId="9" fillId="9" borderId="4" xfId="0" applyFont="1" applyFill="1" applyBorder="1" applyAlignment="1">
      <alignment horizontal="center" vertical="center"/>
    </xf>
    <xf numFmtId="14" fontId="9" fillId="9" borderId="4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 wrapText="1"/>
    </xf>
    <xf numFmtId="164" fontId="3" fillId="3" borderId="4" xfId="0" applyNumberFormat="1" applyFont="1" applyFill="1" applyBorder="1" applyAlignment="1">
      <alignment horizontal="center" vertical="center" wrapText="1"/>
    </xf>
    <xf numFmtId="14" fontId="3" fillId="3" borderId="4" xfId="0" applyNumberFormat="1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164" fontId="3" fillId="4" borderId="4" xfId="0" applyNumberFormat="1" applyFont="1" applyFill="1" applyBorder="1" applyAlignment="1">
      <alignment horizontal="center" vertical="center" wrapText="1"/>
    </xf>
    <xf numFmtId="14" fontId="3" fillId="4" borderId="4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0" fontId="12" fillId="2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wrapText="1"/>
    </xf>
    <xf numFmtId="0" fontId="13" fillId="3" borderId="2" xfId="0" applyFont="1" applyFill="1" applyBorder="1" applyAlignment="1">
      <alignment horizontal="left" vertical="center" wrapText="1" indent="1"/>
    </xf>
    <xf numFmtId="0" fontId="13" fillId="4" borderId="2" xfId="0" applyFont="1" applyFill="1" applyBorder="1" applyAlignment="1">
      <alignment horizontal="left" vertical="center" wrapText="1" indent="1"/>
    </xf>
    <xf numFmtId="0" fontId="15" fillId="0" borderId="0" xfId="0" applyFont="1"/>
    <xf numFmtId="0" fontId="2" fillId="5" borderId="0" xfId="0" applyFont="1" applyFill="1"/>
    <xf numFmtId="0" fontId="13" fillId="3" borderId="5" xfId="0" applyFont="1" applyFill="1" applyBorder="1" applyAlignment="1">
      <alignment horizontal="left" vertical="center" wrapText="1" indent="1"/>
    </xf>
    <xf numFmtId="0" fontId="13" fillId="4" borderId="5" xfId="0" applyFont="1" applyFill="1" applyBorder="1" applyAlignment="1">
      <alignment horizontal="left" vertical="center" wrapText="1" indent="1"/>
    </xf>
    <xf numFmtId="0" fontId="2" fillId="5" borderId="9" xfId="0" applyFont="1" applyFill="1" applyBorder="1"/>
    <xf numFmtId="0" fontId="0" fillId="5" borderId="10" xfId="0" applyFill="1" applyBorder="1"/>
    <xf numFmtId="0" fontId="0" fillId="0" borderId="12" xfId="0" applyBorder="1"/>
    <xf numFmtId="0" fontId="0" fillId="5" borderId="6" xfId="0" applyFill="1" applyBorder="1"/>
    <xf numFmtId="0" fontId="0" fillId="5" borderId="7" xfId="0" applyFill="1" applyBorder="1"/>
    <xf numFmtId="0" fontId="0" fillId="5" borderId="8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0" fontId="2" fillId="5" borderId="11" xfId="0" applyFont="1" applyFill="1" applyBorder="1"/>
    <xf numFmtId="0" fontId="16" fillId="3" borderId="2" xfId="0" applyFont="1" applyFill="1" applyBorder="1" applyAlignment="1">
      <alignment horizontal="center" vertical="center" wrapText="1"/>
    </xf>
    <xf numFmtId="0" fontId="8" fillId="8" borderId="4" xfId="0" applyFont="1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4" fillId="5" borderId="0" xfId="0" applyFont="1" applyFill="1" applyAlignment="1">
      <alignment wrapText="1"/>
    </xf>
    <xf numFmtId="0" fontId="4" fillId="5" borderId="0" xfId="0" applyFont="1" applyFill="1"/>
    <xf numFmtId="0" fontId="0" fillId="0" borderId="0" xfId="0"/>
    <xf numFmtId="0" fontId="5" fillId="7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/>
    </xf>
    <xf numFmtId="0" fontId="17" fillId="10" borderId="4" xfId="0" applyFont="1" applyFill="1" applyBorder="1" applyAlignment="1">
      <alignment horizontal="center" vertical="center" wrapText="1"/>
    </xf>
    <xf numFmtId="0" fontId="18" fillId="10" borderId="4" xfId="0" applyFont="1" applyFill="1" applyBorder="1" applyAlignment="1">
      <alignment horizontal="left" vertical="center" wrapText="1"/>
    </xf>
    <xf numFmtId="0" fontId="19" fillId="0" borderId="4" xfId="0" applyFont="1" applyBorder="1" applyAlignment="1">
      <alignment horizontal="left" wrapText="1"/>
    </xf>
    <xf numFmtId="0" fontId="1" fillId="0" borderId="4" xfId="0" applyFont="1" applyBorder="1" applyAlignment="1">
      <alignment vertical="center" wrapText="1"/>
    </xf>
    <xf numFmtId="0" fontId="20" fillId="9" borderId="0" xfId="0" applyFont="1" applyFill="1" applyAlignment="1">
      <alignment vertical="center" wrapText="1"/>
    </xf>
    <xf numFmtId="0" fontId="18" fillId="9" borderId="0" xfId="0" applyFont="1" applyFill="1" applyAlignment="1">
      <alignment horizontal="left" vertical="center" wrapText="1" indent="1"/>
    </xf>
    <xf numFmtId="0" fontId="18" fillId="5" borderId="0" xfId="0" applyFont="1" applyFill="1" applyAlignment="1">
      <alignment horizontal="left" vertical="center" wrapText="1" indent="1"/>
    </xf>
    <xf numFmtId="0" fontId="1" fillId="5" borderId="0" xfId="0" applyFont="1" applyFill="1"/>
    <xf numFmtId="0" fontId="20" fillId="2" borderId="0" xfId="0" applyFont="1" applyFill="1" applyAlignment="1">
      <alignment vertical="center" wrapText="1"/>
    </xf>
    <xf numFmtId="0" fontId="18" fillId="2" borderId="0" xfId="0" applyFont="1" applyFill="1" applyAlignment="1">
      <alignment horizontal="left" vertical="center" wrapText="1" indent="1"/>
    </xf>
  </cellXfs>
  <cellStyles count="2">
    <cellStyle name="Normal" xfId="0" builtinId="0"/>
    <cellStyle name="Percent" xfId="1" builtinId="5"/>
  </cellStyles>
  <dxfs count="15">
    <dxf>
      <font>
        <color rgb="FF006100"/>
      </font>
      <fill>
        <patternFill>
          <bgColor rgb="FFC6EFCE"/>
        </patternFill>
      </fill>
    </dxf>
    <dxf>
      <fill>
        <patternFill>
          <fgColor theme="9" tint="-0.24994659260841701"/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fgColor theme="9" tint="-0.24994659260841701"/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theme="9" tint="-0.24994659260841701"/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workbookViewId="0">
      <selection activeCell="K17" sqref="K17"/>
    </sheetView>
  </sheetViews>
  <sheetFormatPr defaultColWidth="9" defaultRowHeight="14.4"/>
  <cols>
    <col min="1" max="1" width="15.44140625" customWidth="1"/>
    <col min="2" max="2" width="16.6640625" customWidth="1"/>
    <col min="3" max="3" width="14.6640625" customWidth="1"/>
    <col min="4" max="4" width="13" customWidth="1"/>
    <col min="5" max="5" width="15.44140625" customWidth="1"/>
    <col min="8" max="8" width="14" customWidth="1"/>
    <col min="11" max="11" width="19.109375" customWidth="1"/>
  </cols>
  <sheetData>
    <row r="1" spans="1:11" ht="19.2">
      <c r="A1" s="27" t="s">
        <v>0</v>
      </c>
      <c r="B1" s="27" t="s">
        <v>1</v>
      </c>
      <c r="C1" s="27" t="s">
        <v>2</v>
      </c>
      <c r="D1" s="27" t="s">
        <v>3</v>
      </c>
      <c r="E1" s="28" t="s">
        <v>4</v>
      </c>
    </row>
    <row r="2" spans="1:11" ht="19.2">
      <c r="A2" s="29" t="s">
        <v>5</v>
      </c>
      <c r="B2" s="29" t="s">
        <v>6</v>
      </c>
      <c r="C2" s="29" t="s">
        <v>7</v>
      </c>
      <c r="D2" s="30">
        <v>32000</v>
      </c>
      <c r="E2" s="31">
        <v>44573</v>
      </c>
    </row>
    <row r="3" spans="1:11" ht="19.2">
      <c r="A3" s="32" t="s">
        <v>8</v>
      </c>
      <c r="B3" s="32" t="s">
        <v>9</v>
      </c>
      <c r="C3" s="32" t="s">
        <v>10</v>
      </c>
      <c r="D3" s="33">
        <v>45000</v>
      </c>
      <c r="E3" s="34">
        <v>44260</v>
      </c>
    </row>
    <row r="4" spans="1:11" ht="19.2">
      <c r="A4" s="29" t="s">
        <v>11</v>
      </c>
      <c r="B4" s="29" t="s">
        <v>12</v>
      </c>
      <c r="C4" s="29" t="s">
        <v>13</v>
      </c>
      <c r="D4" s="30">
        <v>38000</v>
      </c>
      <c r="E4" s="31">
        <v>44030</v>
      </c>
    </row>
    <row r="5" spans="1:11" ht="19.2">
      <c r="A5" s="32" t="s">
        <v>14</v>
      </c>
      <c r="B5" s="32" t="s">
        <v>15</v>
      </c>
      <c r="C5" s="32" t="s">
        <v>10</v>
      </c>
      <c r="D5" s="33">
        <v>52000</v>
      </c>
      <c r="E5" s="34">
        <v>43779</v>
      </c>
    </row>
    <row r="6" spans="1:11" ht="19.2">
      <c r="A6" s="32" t="s">
        <v>16</v>
      </c>
      <c r="B6" s="29" t="s">
        <v>17</v>
      </c>
      <c r="C6" s="29" t="s">
        <v>18</v>
      </c>
      <c r="D6" s="30">
        <v>30000</v>
      </c>
      <c r="E6" s="31">
        <v>45102</v>
      </c>
    </row>
    <row r="7" spans="1:11" ht="19.2">
      <c r="A7" s="32" t="s">
        <v>19</v>
      </c>
      <c r="B7" s="29" t="s">
        <v>20</v>
      </c>
      <c r="C7" s="29" t="s">
        <v>18</v>
      </c>
      <c r="D7" s="30">
        <v>40372</v>
      </c>
      <c r="E7" s="31">
        <v>45698</v>
      </c>
      <c r="K7" s="35"/>
    </row>
    <row r="8" spans="1:11" ht="19.2">
      <c r="A8" s="32" t="s">
        <v>21</v>
      </c>
      <c r="B8" s="29" t="s">
        <v>22</v>
      </c>
      <c r="C8" s="29" t="s">
        <v>7</v>
      </c>
      <c r="D8" s="30">
        <v>35691</v>
      </c>
      <c r="E8" s="31">
        <v>46385</v>
      </c>
      <c r="K8" s="35"/>
    </row>
    <row r="9" spans="1:11" ht="19.2">
      <c r="A9" s="32" t="s">
        <v>23</v>
      </c>
      <c r="B9" s="29" t="s">
        <v>24</v>
      </c>
      <c r="C9" s="29" t="s">
        <v>25</v>
      </c>
      <c r="D9" s="30">
        <v>50982</v>
      </c>
      <c r="E9" s="31">
        <v>46695</v>
      </c>
      <c r="K9" s="35"/>
    </row>
    <row r="10" spans="1:11" ht="19.2">
      <c r="A10" s="32" t="s">
        <v>26</v>
      </c>
      <c r="B10" s="29" t="s">
        <v>27</v>
      </c>
      <c r="C10" s="29" t="s">
        <v>10</v>
      </c>
      <c r="D10" s="30">
        <v>47595</v>
      </c>
      <c r="E10" s="31">
        <v>46310</v>
      </c>
      <c r="K10" s="35"/>
    </row>
    <row r="11" spans="1:11" ht="19.2">
      <c r="A11" s="32" t="s">
        <v>28</v>
      </c>
      <c r="B11" s="29" t="s">
        <v>27</v>
      </c>
      <c r="C11" s="29" t="s">
        <v>18</v>
      </c>
      <c r="D11" s="30">
        <v>43018</v>
      </c>
      <c r="E11" s="31">
        <v>45342</v>
      </c>
      <c r="K11" s="35"/>
    </row>
    <row r="12" spans="1:11" ht="19.2">
      <c r="A12" s="32" t="s">
        <v>29</v>
      </c>
      <c r="B12" s="29" t="s">
        <v>27</v>
      </c>
      <c r="C12" s="29" t="s">
        <v>25</v>
      </c>
      <c r="D12" s="30">
        <v>42895</v>
      </c>
      <c r="E12" s="31">
        <v>44135</v>
      </c>
      <c r="K12" s="35"/>
    </row>
    <row r="13" spans="1:11" ht="19.2">
      <c r="A13" s="32" t="s">
        <v>30</v>
      </c>
      <c r="B13" s="29" t="s">
        <v>20</v>
      </c>
      <c r="C13" s="29" t="s">
        <v>18</v>
      </c>
      <c r="D13" s="30">
        <v>43535</v>
      </c>
      <c r="E13" s="31">
        <v>45407</v>
      </c>
      <c r="K13" s="35"/>
    </row>
    <row r="14" spans="1:11" ht="19.2">
      <c r="A14" s="32" t="s">
        <v>31</v>
      </c>
      <c r="B14" s="29" t="s">
        <v>22</v>
      </c>
      <c r="C14" s="29" t="s">
        <v>18</v>
      </c>
      <c r="D14" s="30">
        <v>42738</v>
      </c>
      <c r="E14" s="31">
        <v>46431</v>
      </c>
      <c r="K14" s="35"/>
    </row>
    <row r="15" spans="1:11" ht="19.2">
      <c r="A15" s="32" t="s">
        <v>32</v>
      </c>
      <c r="B15" s="29" t="s">
        <v>24</v>
      </c>
      <c r="C15" s="29" t="s">
        <v>10</v>
      </c>
      <c r="D15" s="30">
        <v>38186</v>
      </c>
      <c r="E15" s="31">
        <v>44592</v>
      </c>
      <c r="K15" s="35"/>
    </row>
    <row r="16" spans="1:11" ht="19.2">
      <c r="A16" s="32" t="s">
        <v>33</v>
      </c>
      <c r="B16" s="29" t="s">
        <v>27</v>
      </c>
      <c r="C16" s="29" t="s">
        <v>10</v>
      </c>
      <c r="D16" s="30">
        <v>39787</v>
      </c>
      <c r="E16" s="31">
        <v>45419</v>
      </c>
      <c r="K16" s="35"/>
    </row>
    <row r="17" spans="1:11" ht="19.2">
      <c r="A17" s="32" t="s">
        <v>34</v>
      </c>
      <c r="B17" s="29" t="s">
        <v>35</v>
      </c>
      <c r="C17" s="29" t="s">
        <v>10</v>
      </c>
      <c r="D17" s="30">
        <v>47599</v>
      </c>
      <c r="E17" s="31">
        <v>44164</v>
      </c>
      <c r="K17" s="35"/>
    </row>
    <row r="18" spans="1:11" ht="19.2">
      <c r="A18" s="32" t="s">
        <v>36</v>
      </c>
      <c r="B18" s="29" t="s">
        <v>35</v>
      </c>
      <c r="C18" s="29" t="s">
        <v>25</v>
      </c>
      <c r="D18" s="30">
        <v>42465</v>
      </c>
      <c r="E18" s="31">
        <v>45901</v>
      </c>
      <c r="K18" s="35"/>
    </row>
    <row r="19" spans="1:11" ht="19.2">
      <c r="A19" s="32" t="s">
        <v>37</v>
      </c>
      <c r="B19" s="29" t="s">
        <v>24</v>
      </c>
      <c r="C19" s="29" t="s">
        <v>25</v>
      </c>
      <c r="D19" s="30">
        <v>46304</v>
      </c>
      <c r="E19" s="31">
        <v>45260</v>
      </c>
      <c r="K19" s="35"/>
    </row>
    <row r="20" spans="1:11" ht="19.2">
      <c r="A20" s="32" t="s">
        <v>38</v>
      </c>
      <c r="B20" s="29" t="s">
        <v>22</v>
      </c>
      <c r="C20" s="29" t="s">
        <v>18</v>
      </c>
      <c r="D20" s="30">
        <v>38469</v>
      </c>
      <c r="E20" s="31">
        <v>46588</v>
      </c>
      <c r="K20" s="35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2"/>
  <sheetViews>
    <sheetView workbookViewId="0">
      <selection activeCell="C2" sqref="C2"/>
    </sheetView>
  </sheetViews>
  <sheetFormatPr defaultColWidth="9" defaultRowHeight="14.4"/>
  <cols>
    <col min="1" max="1" width="26.44140625" customWidth="1"/>
    <col min="2" max="2" width="9.109375" customWidth="1"/>
    <col min="3" max="3" width="16.88671875" customWidth="1"/>
    <col min="4" max="4" width="15" customWidth="1"/>
  </cols>
  <sheetData>
    <row r="1" spans="1:4" ht="33.6">
      <c r="A1" s="56" t="s">
        <v>39</v>
      </c>
      <c r="B1" s="57"/>
      <c r="C1" s="57"/>
      <c r="D1" s="57"/>
    </row>
    <row r="2" spans="1:4" ht="19.2">
      <c r="A2" s="20" t="s">
        <v>40</v>
      </c>
      <c r="B2" s="20" t="s">
        <v>41</v>
      </c>
      <c r="C2" s="20" t="s">
        <v>42</v>
      </c>
      <c r="D2" s="20" t="s">
        <v>43</v>
      </c>
    </row>
    <row r="3" spans="1:4">
      <c r="A3" s="21" t="s">
        <v>44</v>
      </c>
      <c r="B3" s="22" t="s">
        <v>45</v>
      </c>
      <c r="C3" s="23">
        <v>45000</v>
      </c>
      <c r="D3" s="22" t="s">
        <v>46</v>
      </c>
    </row>
    <row r="4" spans="1:4">
      <c r="A4" s="24" t="s">
        <v>47</v>
      </c>
      <c r="B4" s="25" t="s">
        <v>48</v>
      </c>
      <c r="C4" s="26">
        <v>1200</v>
      </c>
      <c r="D4" s="25" t="s">
        <v>49</v>
      </c>
    </row>
    <row r="5" spans="1:4">
      <c r="A5" s="21" t="s">
        <v>50</v>
      </c>
      <c r="B5" s="22" t="s">
        <v>51</v>
      </c>
      <c r="C5" s="23">
        <v>18000</v>
      </c>
      <c r="D5" s="22" t="s">
        <v>52</v>
      </c>
    </row>
    <row r="6" spans="1:4">
      <c r="A6" s="24" t="s">
        <v>53</v>
      </c>
      <c r="B6" s="25" t="s">
        <v>54</v>
      </c>
      <c r="C6" s="26">
        <v>62000</v>
      </c>
      <c r="D6" s="25" t="s">
        <v>55</v>
      </c>
    </row>
    <row r="7" spans="1:4">
      <c r="A7" s="21" t="s">
        <v>56</v>
      </c>
      <c r="B7" s="22" t="s">
        <v>54</v>
      </c>
      <c r="C7" s="23">
        <v>14431</v>
      </c>
      <c r="D7" s="22" t="s">
        <v>46</v>
      </c>
    </row>
    <row r="8" spans="1:4">
      <c r="A8" s="24" t="s">
        <v>57</v>
      </c>
      <c r="B8" s="25" t="s">
        <v>54</v>
      </c>
      <c r="C8" s="26">
        <v>43834</v>
      </c>
      <c r="D8" s="25" t="s">
        <v>52</v>
      </c>
    </row>
    <row r="9" spans="1:4">
      <c r="A9" s="21" t="s">
        <v>58</v>
      </c>
      <c r="B9" s="22" t="s">
        <v>51</v>
      </c>
      <c r="C9" s="23">
        <v>57163</v>
      </c>
      <c r="D9" s="22" t="s">
        <v>55</v>
      </c>
    </row>
    <row r="10" spans="1:4">
      <c r="A10" s="24" t="s">
        <v>59</v>
      </c>
      <c r="B10" s="25" t="s">
        <v>51</v>
      </c>
      <c r="C10" s="26">
        <v>41287</v>
      </c>
      <c r="D10" s="25" t="s">
        <v>46</v>
      </c>
    </row>
    <row r="11" spans="1:4">
      <c r="A11" s="21" t="s">
        <v>60</v>
      </c>
      <c r="B11" s="22" t="s">
        <v>54</v>
      </c>
      <c r="C11" s="23">
        <v>47735</v>
      </c>
      <c r="D11" s="22" t="s">
        <v>52</v>
      </c>
    </row>
    <row r="12" spans="1:4">
      <c r="A12" s="24" t="s">
        <v>61</v>
      </c>
      <c r="B12" s="25" t="s">
        <v>51</v>
      </c>
      <c r="C12" s="26">
        <v>46689</v>
      </c>
      <c r="D12" s="25" t="s">
        <v>52</v>
      </c>
    </row>
    <row r="13" spans="1:4">
      <c r="A13" s="21" t="s">
        <v>62</v>
      </c>
      <c r="B13" s="22" t="s">
        <v>54</v>
      </c>
      <c r="C13" s="23">
        <v>35914</v>
      </c>
      <c r="D13" s="22" t="s">
        <v>52</v>
      </c>
    </row>
    <row r="14" spans="1:4">
      <c r="A14" s="24" t="s">
        <v>63</v>
      </c>
      <c r="B14" s="25" t="s">
        <v>48</v>
      </c>
      <c r="C14" s="26">
        <v>61263</v>
      </c>
      <c r="D14" s="25" t="s">
        <v>49</v>
      </c>
    </row>
    <row r="15" spans="1:4">
      <c r="A15" s="21" t="s">
        <v>64</v>
      </c>
      <c r="B15" s="22" t="s">
        <v>48</v>
      </c>
      <c r="C15" s="23">
        <v>55533</v>
      </c>
      <c r="D15" s="22" t="s">
        <v>55</v>
      </c>
    </row>
    <row r="16" spans="1:4">
      <c r="A16" s="24" t="s">
        <v>65</v>
      </c>
      <c r="B16" s="25" t="s">
        <v>54</v>
      </c>
      <c r="C16" s="26">
        <v>44563</v>
      </c>
      <c r="D16" s="25" t="s">
        <v>55</v>
      </c>
    </row>
    <row r="17" spans="1:4">
      <c r="A17" s="21" t="s">
        <v>66</v>
      </c>
      <c r="B17" s="22" t="s">
        <v>45</v>
      </c>
      <c r="C17" s="23">
        <v>18370</v>
      </c>
      <c r="D17" s="22" t="s">
        <v>49</v>
      </c>
    </row>
    <row r="18" spans="1:4">
      <c r="A18" s="24" t="s">
        <v>67</v>
      </c>
      <c r="B18" s="25" t="s">
        <v>48</v>
      </c>
      <c r="C18" s="26">
        <v>36741</v>
      </c>
      <c r="D18" s="25" t="s">
        <v>46</v>
      </c>
    </row>
    <row r="19" spans="1:4">
      <c r="A19" s="21" t="s">
        <v>68</v>
      </c>
      <c r="B19" s="22" t="s">
        <v>51</v>
      </c>
      <c r="C19" s="23">
        <v>29477</v>
      </c>
      <c r="D19" s="22" t="s">
        <v>49</v>
      </c>
    </row>
    <row r="20" spans="1:4">
      <c r="A20" s="24" t="s">
        <v>69</v>
      </c>
      <c r="B20" s="25" t="s">
        <v>54</v>
      </c>
      <c r="C20" s="26">
        <v>61680</v>
      </c>
      <c r="D20" s="25" t="s">
        <v>49</v>
      </c>
    </row>
    <row r="21" spans="1:4">
      <c r="A21" s="21" t="s">
        <v>70</v>
      </c>
      <c r="B21" s="22" t="s">
        <v>54</v>
      </c>
      <c r="C21" s="23">
        <v>30436</v>
      </c>
      <c r="D21" s="22" t="s">
        <v>52</v>
      </c>
    </row>
    <row r="22" spans="1:4">
      <c r="A22" s="24" t="s">
        <v>71</v>
      </c>
      <c r="B22" s="25" t="s">
        <v>45</v>
      </c>
      <c r="C22" s="26">
        <v>68209</v>
      </c>
      <c r="D22" s="25" t="s">
        <v>46</v>
      </c>
    </row>
  </sheetData>
  <mergeCells count="1">
    <mergeCell ref="A1:D1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2"/>
  <sheetViews>
    <sheetView workbookViewId="0">
      <selection activeCell="K6" sqref="K6"/>
    </sheetView>
  </sheetViews>
  <sheetFormatPr defaultColWidth="9" defaultRowHeight="14.4"/>
  <cols>
    <col min="1" max="1" width="9.6640625" customWidth="1"/>
    <col min="2" max="2" width="17.5546875" customWidth="1"/>
    <col min="3" max="3" width="8.109375" customWidth="1"/>
    <col min="4" max="4" width="9.6640625" customWidth="1"/>
    <col min="5" max="5" width="9.44140625" customWidth="1"/>
    <col min="6" max="6" width="6.44140625" customWidth="1"/>
    <col min="7" max="7" width="16" customWidth="1"/>
  </cols>
  <sheetData>
    <row r="1" spans="1:15" ht="19.2">
      <c r="A1" s="5" t="s">
        <v>72</v>
      </c>
      <c r="B1" s="5" t="s">
        <v>73</v>
      </c>
      <c r="C1" s="5" t="s">
        <v>74</v>
      </c>
      <c r="D1" s="5" t="s">
        <v>75</v>
      </c>
      <c r="E1" s="5" t="s">
        <v>76</v>
      </c>
      <c r="F1" s="5" t="s">
        <v>77</v>
      </c>
      <c r="G1" s="5" t="s">
        <v>78</v>
      </c>
    </row>
    <row r="2" spans="1:15" ht="19.2">
      <c r="A2" s="15">
        <v>1</v>
      </c>
      <c r="B2" s="15" t="s">
        <v>79</v>
      </c>
      <c r="C2" s="15">
        <v>78</v>
      </c>
      <c r="D2" s="15">
        <v>82</v>
      </c>
      <c r="E2" s="15">
        <v>74</v>
      </c>
      <c r="F2" s="15">
        <v>234</v>
      </c>
      <c r="G2" s="16">
        <v>0.78</v>
      </c>
    </row>
    <row r="3" spans="1:15" ht="19.2">
      <c r="A3" s="17">
        <v>2</v>
      </c>
      <c r="B3" s="17" t="s">
        <v>80</v>
      </c>
      <c r="C3" s="17">
        <v>65</v>
      </c>
      <c r="D3" s="17">
        <v>70</v>
      </c>
      <c r="E3" s="17">
        <v>68</v>
      </c>
      <c r="F3" s="15">
        <v>203</v>
      </c>
      <c r="G3" s="18">
        <v>0.67666666666666697</v>
      </c>
      <c r="O3" s="19"/>
    </row>
    <row r="4" spans="1:15" ht="19.2">
      <c r="A4" s="15">
        <v>3</v>
      </c>
      <c r="B4" s="15" t="s">
        <v>81</v>
      </c>
      <c r="C4" s="15">
        <v>90</v>
      </c>
      <c r="D4" s="15">
        <v>88</v>
      </c>
      <c r="E4" s="15">
        <v>92</v>
      </c>
      <c r="F4" s="15">
        <v>270</v>
      </c>
      <c r="G4" s="16">
        <v>0.9</v>
      </c>
      <c r="M4" s="15"/>
      <c r="O4" s="19"/>
    </row>
    <row r="5" spans="1:15" ht="19.2">
      <c r="A5" s="17">
        <v>4</v>
      </c>
      <c r="B5" s="17" t="s">
        <v>82</v>
      </c>
      <c r="C5" s="17">
        <v>35</v>
      </c>
      <c r="D5" s="17">
        <v>40</v>
      </c>
      <c r="E5" s="17">
        <v>38</v>
      </c>
      <c r="F5" s="15">
        <v>113</v>
      </c>
      <c r="G5" s="18">
        <v>0.37666666666666698</v>
      </c>
      <c r="M5" s="15"/>
      <c r="O5" s="19"/>
    </row>
    <row r="6" spans="1:15" ht="19.2">
      <c r="A6" s="15">
        <v>5</v>
      </c>
      <c r="B6" s="15" t="s">
        <v>83</v>
      </c>
      <c r="C6" s="15">
        <v>55</v>
      </c>
      <c r="D6" s="15">
        <v>60</v>
      </c>
      <c r="E6" s="15">
        <v>58</v>
      </c>
      <c r="F6" s="15">
        <v>173</v>
      </c>
      <c r="G6" s="16">
        <v>0.57666666666666699</v>
      </c>
      <c r="M6" s="15"/>
      <c r="O6" s="19"/>
    </row>
    <row r="7" spans="1:15" ht="19.2">
      <c r="A7" s="17">
        <v>6</v>
      </c>
      <c r="B7" s="17" t="s">
        <v>84</v>
      </c>
      <c r="C7" s="17">
        <v>94</v>
      </c>
      <c r="D7" s="17">
        <v>82</v>
      </c>
      <c r="E7" s="17">
        <v>57</v>
      </c>
      <c r="F7" s="15">
        <v>233</v>
      </c>
      <c r="G7" s="18">
        <v>0.77666666666666695</v>
      </c>
      <c r="M7" s="15"/>
      <c r="O7" s="19"/>
    </row>
    <row r="8" spans="1:15" ht="19.2">
      <c r="A8" s="15">
        <v>7</v>
      </c>
      <c r="B8" s="15" t="s">
        <v>85</v>
      </c>
      <c r="C8" s="15">
        <v>96</v>
      </c>
      <c r="D8" s="15">
        <v>50</v>
      </c>
      <c r="E8" s="15">
        <v>59</v>
      </c>
      <c r="F8" s="15">
        <v>205</v>
      </c>
      <c r="G8" s="16">
        <v>0.68333333333333302</v>
      </c>
      <c r="M8" s="15"/>
    </row>
    <row r="9" spans="1:15" ht="19.2">
      <c r="A9" s="17">
        <v>8</v>
      </c>
      <c r="B9" s="17" t="s">
        <v>86</v>
      </c>
      <c r="C9" s="17">
        <v>95</v>
      </c>
      <c r="D9" s="17">
        <v>59</v>
      </c>
      <c r="E9" s="17">
        <v>57</v>
      </c>
      <c r="F9" s="15">
        <v>211</v>
      </c>
      <c r="G9" s="18">
        <v>0.70333333333333303</v>
      </c>
      <c r="N9" s="19"/>
    </row>
    <row r="10" spans="1:15" ht="19.2">
      <c r="A10" s="15">
        <v>9</v>
      </c>
      <c r="B10" s="15" t="s">
        <v>87</v>
      </c>
      <c r="C10" s="15">
        <v>81</v>
      </c>
      <c r="D10" s="15">
        <v>91</v>
      </c>
      <c r="E10" s="15">
        <v>67</v>
      </c>
      <c r="F10" s="15">
        <v>239</v>
      </c>
      <c r="G10" s="16">
        <v>0.79666666666666697</v>
      </c>
      <c r="N10" s="19"/>
    </row>
    <row r="11" spans="1:15" ht="19.2">
      <c r="A11" s="17">
        <v>10</v>
      </c>
      <c r="B11" s="17" t="s">
        <v>88</v>
      </c>
      <c r="C11" s="17">
        <v>44</v>
      </c>
      <c r="D11" s="17">
        <v>42</v>
      </c>
      <c r="E11" s="17">
        <v>53</v>
      </c>
      <c r="F11" s="15">
        <v>139</v>
      </c>
      <c r="G11" s="18">
        <v>0.46333333333333299</v>
      </c>
      <c r="N11" s="19"/>
    </row>
    <row r="12" spans="1:15" ht="19.2">
      <c r="A12" s="15">
        <v>11</v>
      </c>
      <c r="B12" s="15" t="s">
        <v>89</v>
      </c>
      <c r="C12" s="15">
        <v>70</v>
      </c>
      <c r="D12" s="15">
        <v>43</v>
      </c>
      <c r="E12" s="15">
        <v>87</v>
      </c>
      <c r="F12" s="15">
        <v>200</v>
      </c>
      <c r="G12" s="16">
        <v>0.66666666666666696</v>
      </c>
      <c r="N12" s="19"/>
    </row>
    <row r="13" spans="1:15" ht="19.2">
      <c r="A13" s="17">
        <v>12</v>
      </c>
      <c r="B13" s="17" t="s">
        <v>90</v>
      </c>
      <c r="C13" s="17">
        <v>73</v>
      </c>
      <c r="D13" s="17">
        <v>85</v>
      </c>
      <c r="E13" s="17">
        <v>84</v>
      </c>
      <c r="F13" s="15">
        <v>242</v>
      </c>
      <c r="G13" s="18">
        <v>0.80666666666666698</v>
      </c>
      <c r="N13" s="19"/>
    </row>
    <row r="14" spans="1:15" ht="19.2">
      <c r="A14" s="15">
        <v>13</v>
      </c>
      <c r="B14" s="15" t="s">
        <v>91</v>
      </c>
      <c r="C14" s="15">
        <v>45</v>
      </c>
      <c r="D14" s="15">
        <v>40</v>
      </c>
      <c r="E14" s="15">
        <v>60</v>
      </c>
      <c r="F14" s="15">
        <v>145</v>
      </c>
      <c r="G14" s="16">
        <v>0.483333333333333</v>
      </c>
      <c r="N14" s="19"/>
    </row>
    <row r="15" spans="1:15" ht="19.2">
      <c r="A15" s="17">
        <v>14</v>
      </c>
      <c r="B15" s="17" t="s">
        <v>92</v>
      </c>
      <c r="C15" s="17">
        <v>36</v>
      </c>
      <c r="D15" s="17">
        <v>70</v>
      </c>
      <c r="E15" s="17">
        <v>85</v>
      </c>
      <c r="F15" s="15">
        <v>191</v>
      </c>
      <c r="G15" s="18">
        <v>0.63666666666666705</v>
      </c>
      <c r="N15" s="19"/>
    </row>
    <row r="16" spans="1:15" ht="19.2">
      <c r="A16" s="15">
        <v>15</v>
      </c>
      <c r="B16" s="15" t="s">
        <v>93</v>
      </c>
      <c r="C16" s="15">
        <v>33</v>
      </c>
      <c r="D16" s="15">
        <v>86</v>
      </c>
      <c r="E16" s="15">
        <v>51</v>
      </c>
      <c r="F16" s="15">
        <v>170</v>
      </c>
      <c r="G16" s="16">
        <v>0.56666666666666698</v>
      </c>
      <c r="N16" s="19"/>
    </row>
    <row r="17" spans="1:14" ht="19.2">
      <c r="A17" s="17">
        <v>16</v>
      </c>
      <c r="B17" s="17" t="s">
        <v>94</v>
      </c>
      <c r="C17" s="17">
        <v>96</v>
      </c>
      <c r="D17" s="17">
        <v>84</v>
      </c>
      <c r="E17" s="17">
        <v>73</v>
      </c>
      <c r="F17" s="15">
        <v>253</v>
      </c>
      <c r="G17" s="18">
        <v>0.84333333333333305</v>
      </c>
      <c r="N17" s="19"/>
    </row>
    <row r="18" spans="1:14" ht="19.2">
      <c r="A18" s="15">
        <v>17</v>
      </c>
      <c r="B18" s="15" t="s">
        <v>95</v>
      </c>
      <c r="C18" s="15">
        <v>52</v>
      </c>
      <c r="D18" s="15">
        <v>64</v>
      </c>
      <c r="E18" s="15">
        <v>68</v>
      </c>
      <c r="F18" s="15">
        <v>184</v>
      </c>
      <c r="G18" s="16">
        <v>0.61333333333333295</v>
      </c>
      <c r="N18" s="19"/>
    </row>
    <row r="19" spans="1:14" ht="19.2">
      <c r="A19" s="17">
        <v>18</v>
      </c>
      <c r="B19" s="17" t="s">
        <v>96</v>
      </c>
      <c r="C19" s="17">
        <v>77</v>
      </c>
      <c r="D19" s="17">
        <v>76</v>
      </c>
      <c r="E19" s="17">
        <v>58</v>
      </c>
      <c r="F19" s="15">
        <v>211</v>
      </c>
      <c r="G19" s="18">
        <v>0.70333333333333303</v>
      </c>
      <c r="N19" s="19"/>
    </row>
    <row r="20" spans="1:14" ht="19.2">
      <c r="A20" s="15">
        <v>19</v>
      </c>
      <c r="B20" s="15" t="s">
        <v>97</v>
      </c>
      <c r="C20" s="15">
        <v>78</v>
      </c>
      <c r="D20" s="15">
        <v>76</v>
      </c>
      <c r="E20" s="15">
        <v>63</v>
      </c>
      <c r="F20" s="15">
        <v>217</v>
      </c>
      <c r="G20" s="16">
        <v>0.72333333333333305</v>
      </c>
      <c r="N20" s="19"/>
    </row>
    <row r="21" spans="1:14">
      <c r="N21" s="19"/>
    </row>
    <row r="22" spans="1:14">
      <c r="N22" s="19"/>
    </row>
  </sheetData>
  <conditionalFormatting sqref="G2:G2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{4C8CF139-5FDD-4A9E-B3B1-F4FFEB663A59}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C8CF139-5FDD-4A9E-B3B1-F4FFEB663A5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G2:G20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7"/>
  <sheetViews>
    <sheetView zoomScale="48" zoomScaleNormal="48" workbookViewId="0">
      <selection activeCell="A2" sqref="A2"/>
    </sheetView>
  </sheetViews>
  <sheetFormatPr defaultColWidth="9" defaultRowHeight="14.4"/>
  <cols>
    <col min="1" max="2" width="17.6640625" customWidth="1"/>
    <col min="3" max="3" width="17.77734375" customWidth="1"/>
    <col min="7" max="7" width="13" customWidth="1"/>
    <col min="8" max="8" width="27.109375"/>
  </cols>
  <sheetData>
    <row r="1" spans="1:8" ht="19.2">
      <c r="A1" s="1" t="s">
        <v>124</v>
      </c>
      <c r="B1" s="1" t="s">
        <v>2</v>
      </c>
      <c r="C1" s="1" t="s">
        <v>3</v>
      </c>
    </row>
    <row r="2" spans="1:8" ht="19.2">
      <c r="A2" s="2" t="s">
        <v>125</v>
      </c>
      <c r="B2" s="3" t="s">
        <v>13</v>
      </c>
      <c r="C2" s="4">
        <v>45000</v>
      </c>
    </row>
    <row r="3" spans="1:8" ht="19.2">
      <c r="A3" s="5" t="s">
        <v>126</v>
      </c>
      <c r="B3" s="3" t="s">
        <v>13</v>
      </c>
      <c r="C3" s="5">
        <v>50000</v>
      </c>
    </row>
    <row r="4" spans="1:8" ht="19.2">
      <c r="A4" s="2" t="s">
        <v>127</v>
      </c>
      <c r="B4" s="2" t="s">
        <v>7</v>
      </c>
      <c r="C4" s="2">
        <v>28000</v>
      </c>
    </row>
    <row r="5" spans="1:8" ht="19.2">
      <c r="A5" s="5" t="s">
        <v>128</v>
      </c>
      <c r="B5" s="5" t="s">
        <v>7</v>
      </c>
      <c r="C5" s="3">
        <v>42000</v>
      </c>
    </row>
    <row r="6" spans="1:8" ht="19.2">
      <c r="A6" s="5" t="s">
        <v>129</v>
      </c>
      <c r="B6" s="5" t="s">
        <v>7</v>
      </c>
      <c r="C6" s="5">
        <v>30000</v>
      </c>
    </row>
    <row r="7" spans="1:8" ht="19.2">
      <c r="A7" s="5" t="s">
        <v>130</v>
      </c>
      <c r="B7" s="3" t="s">
        <v>7</v>
      </c>
      <c r="C7" s="3">
        <v>38000</v>
      </c>
    </row>
    <row r="8" spans="1:8" ht="19.2">
      <c r="A8" s="5" t="s">
        <v>131</v>
      </c>
      <c r="B8" s="5" t="s">
        <v>7</v>
      </c>
      <c r="C8" s="5">
        <v>73413</v>
      </c>
      <c r="E8" s="58" t="s">
        <v>132</v>
      </c>
      <c r="F8" s="59"/>
      <c r="G8" s="59"/>
    </row>
    <row r="9" spans="1:8" ht="21">
      <c r="A9" s="5" t="s">
        <v>133</v>
      </c>
      <c r="B9" s="4" t="s">
        <v>10</v>
      </c>
      <c r="C9" s="3">
        <v>60147</v>
      </c>
      <c r="E9" s="59"/>
      <c r="F9" s="59"/>
      <c r="G9" s="59"/>
      <c r="H9" s="6"/>
    </row>
    <row r="10" spans="1:8" ht="28.8">
      <c r="A10" s="5" t="s">
        <v>134</v>
      </c>
      <c r="B10" s="5" t="s">
        <v>10</v>
      </c>
      <c r="C10" s="5">
        <v>38432</v>
      </c>
      <c r="E10" s="59"/>
      <c r="F10" s="59"/>
      <c r="G10" s="59"/>
      <c r="H10" s="7">
        <f>SUM(C2:C3)</f>
        <v>95000</v>
      </c>
    </row>
    <row r="11" spans="1:8" ht="28.8">
      <c r="A11" s="5" t="s">
        <v>135</v>
      </c>
      <c r="B11" s="5" t="s">
        <v>10</v>
      </c>
      <c r="C11" s="3">
        <v>33492</v>
      </c>
      <c r="E11" s="59"/>
      <c r="F11" s="59"/>
      <c r="G11" s="59"/>
      <c r="H11" s="7">
        <f>SUM(C4:C8)</f>
        <v>211413</v>
      </c>
    </row>
    <row r="12" spans="1:8" ht="28.8">
      <c r="A12" s="5" t="s">
        <v>136</v>
      </c>
      <c r="B12" s="3" t="s">
        <v>10</v>
      </c>
      <c r="C12" s="5">
        <v>30441</v>
      </c>
      <c r="E12" s="59"/>
      <c r="F12" s="59"/>
      <c r="G12" s="59"/>
      <c r="H12" s="7">
        <f>SUM(C9:C20)</f>
        <v>617284</v>
      </c>
    </row>
    <row r="13" spans="1:8" ht="28.8">
      <c r="A13" s="5" t="s">
        <v>133</v>
      </c>
      <c r="B13" s="3" t="s">
        <v>10</v>
      </c>
      <c r="C13" s="3">
        <v>27245</v>
      </c>
      <c r="E13" s="59"/>
      <c r="F13" s="59"/>
      <c r="G13" s="59"/>
      <c r="H13" s="7">
        <f>AVERAGE(C2:C20)</f>
        <v>48615.631578947403</v>
      </c>
    </row>
    <row r="14" spans="1:8" ht="28.8">
      <c r="A14" s="5" t="s">
        <v>135</v>
      </c>
      <c r="B14" s="5" t="s">
        <v>10</v>
      </c>
      <c r="C14" s="5">
        <v>59734</v>
      </c>
      <c r="E14" s="59"/>
      <c r="F14" s="59"/>
      <c r="G14" s="59"/>
      <c r="H14" s="7">
        <f>COUNT(C2:C20)</f>
        <v>19</v>
      </c>
    </row>
    <row r="15" spans="1:8" ht="19.2">
      <c r="A15" s="5" t="s">
        <v>134</v>
      </c>
      <c r="B15" s="3" t="s">
        <v>10</v>
      </c>
      <c r="C15" s="3">
        <v>77959</v>
      </c>
    </row>
    <row r="16" spans="1:8" ht="19.2">
      <c r="A16" s="5" t="s">
        <v>130</v>
      </c>
      <c r="B16" s="5" t="s">
        <v>10</v>
      </c>
      <c r="C16" s="5">
        <v>28376</v>
      </c>
    </row>
    <row r="17" spans="1:3" ht="19.2">
      <c r="A17" s="5" t="s">
        <v>128</v>
      </c>
      <c r="B17" s="5" t="s">
        <v>10</v>
      </c>
      <c r="C17" s="3">
        <v>71554</v>
      </c>
    </row>
    <row r="18" spans="1:3" ht="19.2">
      <c r="A18" s="5" t="s">
        <v>127</v>
      </c>
      <c r="B18" s="3" t="s">
        <v>10</v>
      </c>
      <c r="C18" s="5">
        <v>41382</v>
      </c>
    </row>
    <row r="19" spans="1:3" ht="19.2">
      <c r="A19" s="5" t="s">
        <v>125</v>
      </c>
      <c r="B19" s="3" t="s">
        <v>10</v>
      </c>
      <c r="C19" s="3">
        <v>71747</v>
      </c>
    </row>
    <row r="20" spans="1:3" ht="19.2">
      <c r="A20" s="5" t="s">
        <v>129</v>
      </c>
      <c r="B20" s="5" t="s">
        <v>10</v>
      </c>
      <c r="C20" s="5">
        <v>76775</v>
      </c>
    </row>
    <row r="21" spans="1:3" ht="17.25" customHeight="1">
      <c r="A21" s="8"/>
      <c r="B21" s="8"/>
      <c r="C21" s="9"/>
    </row>
    <row r="22" spans="1:3" ht="15" customHeight="1">
      <c r="A22" s="10"/>
      <c r="B22" s="10"/>
      <c r="C22" s="11"/>
    </row>
    <row r="23" spans="1:3" ht="15" customHeight="1">
      <c r="A23" s="10"/>
      <c r="B23" s="10"/>
      <c r="C23" s="11"/>
    </row>
    <row r="24" spans="1:3" ht="15" customHeight="1">
      <c r="A24" s="10"/>
      <c r="B24" s="10"/>
      <c r="C24" s="11"/>
    </row>
    <row r="25" spans="1:3" ht="15" customHeight="1">
      <c r="A25" s="10"/>
      <c r="B25" s="10"/>
      <c r="C25" s="11"/>
    </row>
    <row r="26" spans="1:3" ht="15" customHeight="1">
      <c r="A26" s="10"/>
      <c r="B26" s="10"/>
      <c r="C26" s="11"/>
    </row>
    <row r="27" spans="1:3" ht="19.2">
      <c r="C27" s="11"/>
    </row>
  </sheetData>
  <mergeCells count="1">
    <mergeCell ref="E8:G1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4"/>
  <sheetViews>
    <sheetView workbookViewId="0">
      <selection activeCell="H2" sqref="H2:L6"/>
    </sheetView>
  </sheetViews>
  <sheetFormatPr defaultColWidth="9" defaultRowHeight="14.4"/>
  <cols>
    <col min="1" max="1" width="13.44140625" customWidth="1"/>
    <col min="2" max="2" width="14.6640625" customWidth="1"/>
    <col min="3" max="3" width="16.88671875" customWidth="1"/>
  </cols>
  <sheetData>
    <row r="1" spans="1:12" ht="19.2">
      <c r="A1" s="5" t="s">
        <v>98</v>
      </c>
      <c r="B1" s="5" t="s">
        <v>99</v>
      </c>
      <c r="C1" s="5" t="s">
        <v>42</v>
      </c>
    </row>
    <row r="2" spans="1:12" ht="19.2">
      <c r="A2" s="2" t="s">
        <v>100</v>
      </c>
      <c r="B2" s="12">
        <v>45292</v>
      </c>
      <c r="C2" s="2">
        <v>12000</v>
      </c>
      <c r="H2" s="61" t="s">
        <v>101</v>
      </c>
      <c r="I2" s="62"/>
      <c r="J2" s="62"/>
      <c r="K2" s="62"/>
      <c r="L2" s="62"/>
    </row>
    <row r="3" spans="1:12" ht="19.2">
      <c r="A3" s="4" t="s">
        <v>102</v>
      </c>
      <c r="B3" s="13">
        <v>45294</v>
      </c>
      <c r="C3" s="4">
        <v>25000</v>
      </c>
      <c r="H3" s="62"/>
      <c r="I3" s="62"/>
      <c r="J3" s="62"/>
      <c r="K3" s="62"/>
      <c r="L3" s="62"/>
    </row>
    <row r="4" spans="1:12" ht="19.2">
      <c r="A4" s="2" t="s">
        <v>103</v>
      </c>
      <c r="B4" s="12">
        <v>45296</v>
      </c>
      <c r="C4" s="2">
        <v>8000</v>
      </c>
      <c r="H4" s="62"/>
      <c r="I4" s="62"/>
      <c r="J4" s="62"/>
      <c r="K4" s="62"/>
      <c r="L4" s="62"/>
    </row>
    <row r="5" spans="1:12" ht="19.2">
      <c r="A5" s="4" t="s">
        <v>104</v>
      </c>
      <c r="B5" s="13">
        <v>45299</v>
      </c>
      <c r="C5" s="4">
        <v>32000</v>
      </c>
      <c r="H5" s="62"/>
      <c r="I5" s="62"/>
      <c r="J5" s="62"/>
      <c r="K5" s="62"/>
      <c r="L5" s="62"/>
    </row>
    <row r="6" spans="1:12" ht="19.2">
      <c r="A6" s="2" t="s">
        <v>105</v>
      </c>
      <c r="B6" s="12">
        <v>45301</v>
      </c>
      <c r="C6" s="2">
        <v>15000</v>
      </c>
      <c r="H6" s="62"/>
      <c r="I6" s="62"/>
      <c r="J6" s="62"/>
      <c r="K6" s="62"/>
      <c r="L6" s="62"/>
    </row>
    <row r="7" spans="1:12" ht="19.2">
      <c r="A7" s="4" t="s">
        <v>106</v>
      </c>
      <c r="B7" s="13">
        <v>46306</v>
      </c>
      <c r="C7" s="4">
        <v>35675</v>
      </c>
    </row>
    <row r="8" spans="1:12" ht="20.399999999999999">
      <c r="A8" s="2" t="s">
        <v>107</v>
      </c>
      <c r="B8" s="12">
        <v>45565</v>
      </c>
      <c r="C8" s="2">
        <v>39172</v>
      </c>
      <c r="H8" s="14"/>
    </row>
    <row r="9" spans="1:12" ht="20.399999999999999">
      <c r="A9" s="4" t="s">
        <v>108</v>
      </c>
      <c r="B9" s="13">
        <v>44141</v>
      </c>
      <c r="C9" s="4">
        <v>23369</v>
      </c>
      <c r="H9" s="14"/>
    </row>
    <row r="10" spans="1:12" ht="20.399999999999999">
      <c r="A10" s="2" t="s">
        <v>109</v>
      </c>
      <c r="B10" s="12">
        <v>46066</v>
      </c>
      <c r="C10" s="2">
        <v>27928</v>
      </c>
      <c r="H10" s="14"/>
    </row>
    <row r="11" spans="1:12" ht="20.399999999999999">
      <c r="A11" s="4" t="s">
        <v>110</v>
      </c>
      <c r="B11" s="13">
        <v>45418</v>
      </c>
      <c r="C11" s="4">
        <v>21935</v>
      </c>
      <c r="H11" s="14"/>
    </row>
    <row r="12" spans="1:12" ht="19.2">
      <c r="A12" s="2" t="s">
        <v>111</v>
      </c>
      <c r="B12" s="12">
        <v>45536</v>
      </c>
      <c r="C12" s="2">
        <v>21583</v>
      </c>
    </row>
    <row r="13" spans="1:12" ht="19.2">
      <c r="A13" s="4" t="s">
        <v>112</v>
      </c>
      <c r="B13" s="13">
        <v>46539</v>
      </c>
      <c r="C13" s="4">
        <v>35638</v>
      </c>
    </row>
    <row r="14" spans="1:12" ht="19.2">
      <c r="A14" s="2" t="s">
        <v>113</v>
      </c>
      <c r="B14" s="12">
        <v>44726</v>
      </c>
      <c r="C14" s="2">
        <v>76777</v>
      </c>
    </row>
    <row r="15" spans="1:12" ht="19.2">
      <c r="A15" s="4" t="s">
        <v>114</v>
      </c>
      <c r="B15" s="13">
        <v>44551</v>
      </c>
      <c r="C15" s="4">
        <v>19095</v>
      </c>
    </row>
    <row r="16" spans="1:12" ht="19.2">
      <c r="A16" s="2" t="s">
        <v>115</v>
      </c>
      <c r="B16" s="12">
        <v>45482</v>
      </c>
      <c r="C16" s="2">
        <v>35578</v>
      </c>
    </row>
    <row r="17" spans="1:3" ht="19.2">
      <c r="A17" s="4" t="s">
        <v>116</v>
      </c>
      <c r="B17" s="13">
        <v>45059</v>
      </c>
      <c r="C17" s="4">
        <v>71512</v>
      </c>
    </row>
    <row r="18" spans="1:3" ht="19.2">
      <c r="A18" s="2" t="s">
        <v>117</v>
      </c>
      <c r="B18" s="12">
        <v>44876</v>
      </c>
      <c r="C18" s="2">
        <v>34417</v>
      </c>
    </row>
    <row r="19" spans="1:3" ht="19.2">
      <c r="A19" s="4" t="s">
        <v>118</v>
      </c>
      <c r="B19" s="13">
        <v>44154</v>
      </c>
      <c r="C19" s="4">
        <v>39843</v>
      </c>
    </row>
    <row r="20" spans="1:3" ht="19.2">
      <c r="A20" s="2" t="s">
        <v>119</v>
      </c>
      <c r="B20" s="12">
        <v>44139</v>
      </c>
      <c r="C20" s="2">
        <v>17804</v>
      </c>
    </row>
    <row r="21" spans="1:3">
      <c r="A21" s="60" t="s">
        <v>120</v>
      </c>
      <c r="B21" s="60"/>
      <c r="C21">
        <f>SUM(C2:C20)</f>
        <v>592326</v>
      </c>
    </row>
    <row r="22" spans="1:3">
      <c r="A22" s="60" t="s">
        <v>121</v>
      </c>
      <c r="B22" s="60"/>
      <c r="C22">
        <f>AVERAGE(C2:C20)</f>
        <v>31175.052631578899</v>
      </c>
    </row>
    <row r="23" spans="1:3">
      <c r="A23" s="60" t="s">
        <v>122</v>
      </c>
      <c r="B23" s="60"/>
      <c r="C23">
        <f>MAX(C1:C20)</f>
        <v>76777</v>
      </c>
    </row>
    <row r="24" spans="1:3">
      <c r="A24" s="60" t="s">
        <v>123</v>
      </c>
      <c r="B24" s="60"/>
      <c r="C24">
        <f>MIN(C2:C20)</f>
        <v>8000</v>
      </c>
    </row>
  </sheetData>
  <mergeCells count="5">
    <mergeCell ref="A21:B21"/>
    <mergeCell ref="A22:B22"/>
    <mergeCell ref="A23:B23"/>
    <mergeCell ref="A24:B24"/>
    <mergeCell ref="H2: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0"/>
  <sheetViews>
    <sheetView topLeftCell="A15" workbookViewId="0">
      <selection activeCell="N9" sqref="N9"/>
    </sheetView>
  </sheetViews>
  <sheetFormatPr defaultColWidth="8.88671875" defaultRowHeight="14.4"/>
  <cols>
    <col min="1" max="1" width="16.21875" bestFit="1" customWidth="1"/>
    <col min="2" max="2" width="6.5546875" bestFit="1" customWidth="1"/>
    <col min="3" max="6" width="7.109375" bestFit="1" customWidth="1"/>
    <col min="7" max="7" width="23.77734375" bestFit="1" customWidth="1"/>
    <col min="8" max="8" width="22.77734375" bestFit="1" customWidth="1"/>
  </cols>
  <sheetData>
    <row r="1" spans="1:8" ht="19.8" thickBot="1">
      <c r="A1" s="36" t="s">
        <v>73</v>
      </c>
      <c r="B1" s="36" t="s">
        <v>137</v>
      </c>
      <c r="C1" s="36" t="s">
        <v>138</v>
      </c>
      <c r="D1" s="36" t="s">
        <v>139</v>
      </c>
      <c r="E1" s="36" t="s">
        <v>140</v>
      </c>
      <c r="F1" s="36" t="s">
        <v>141</v>
      </c>
      <c r="G1" s="36" t="s">
        <v>144</v>
      </c>
      <c r="H1" s="36" t="s">
        <v>145</v>
      </c>
    </row>
    <row r="2" spans="1:8" ht="19.8" thickBot="1">
      <c r="A2" s="37" t="s">
        <v>79</v>
      </c>
      <c r="B2" s="36" t="s">
        <v>142</v>
      </c>
      <c r="C2" s="36" t="s">
        <v>143</v>
      </c>
      <c r="D2" s="36" t="s">
        <v>142</v>
      </c>
      <c r="E2" s="36" t="s">
        <v>142</v>
      </c>
      <c r="F2" s="36" t="s">
        <v>142</v>
      </c>
      <c r="G2" s="36">
        <v>4</v>
      </c>
      <c r="H2" s="36">
        <v>1</v>
      </c>
    </row>
    <row r="3" spans="1:8" ht="19.8" thickBot="1">
      <c r="A3" s="37" t="s">
        <v>80</v>
      </c>
      <c r="B3" s="36" t="s">
        <v>142</v>
      </c>
      <c r="C3" s="36" t="s">
        <v>142</v>
      </c>
      <c r="D3" s="36" t="s">
        <v>142</v>
      </c>
      <c r="E3" s="36" t="s">
        <v>143</v>
      </c>
      <c r="F3" s="36" t="s">
        <v>142</v>
      </c>
      <c r="G3" s="36">
        <v>4</v>
      </c>
      <c r="H3" s="36">
        <v>1</v>
      </c>
    </row>
    <row r="4" spans="1:8" ht="19.8" thickBot="1">
      <c r="A4" s="37" t="s">
        <v>81</v>
      </c>
      <c r="B4" s="36" t="s">
        <v>143</v>
      </c>
      <c r="C4" s="36" t="s">
        <v>142</v>
      </c>
      <c r="D4" s="36" t="s">
        <v>142</v>
      </c>
      <c r="E4" s="36" t="s">
        <v>142</v>
      </c>
      <c r="F4" s="36" t="s">
        <v>142</v>
      </c>
      <c r="G4" s="36">
        <v>4</v>
      </c>
      <c r="H4" s="36">
        <v>1</v>
      </c>
    </row>
    <row r="5" spans="1:8" ht="19.8" thickBot="1">
      <c r="A5" s="37" t="s">
        <v>82</v>
      </c>
      <c r="B5" s="36" t="s">
        <v>142</v>
      </c>
      <c r="C5" s="36" t="s">
        <v>143</v>
      </c>
      <c r="D5" s="36" t="s">
        <v>143</v>
      </c>
      <c r="E5" s="36" t="s">
        <v>142</v>
      </c>
      <c r="F5" s="36" t="s">
        <v>143</v>
      </c>
      <c r="G5" s="36">
        <v>2</v>
      </c>
      <c r="H5" s="36">
        <v>3</v>
      </c>
    </row>
    <row r="6" spans="1:8" ht="19.8" thickBot="1">
      <c r="A6" s="37" t="s">
        <v>79</v>
      </c>
      <c r="B6" s="36" t="s">
        <v>143</v>
      </c>
      <c r="C6" s="36" t="s">
        <v>142</v>
      </c>
      <c r="D6" s="36" t="s">
        <v>142</v>
      </c>
      <c r="E6" s="36" t="s">
        <v>142</v>
      </c>
      <c r="F6" s="36" t="s">
        <v>142</v>
      </c>
      <c r="G6" s="36">
        <v>4</v>
      </c>
      <c r="H6" s="36">
        <v>1</v>
      </c>
    </row>
    <row r="7" spans="1:8" ht="19.8" thickBot="1">
      <c r="A7" s="37" t="s">
        <v>82</v>
      </c>
      <c r="B7" s="36" t="s">
        <v>142</v>
      </c>
      <c r="C7" s="36" t="s">
        <v>142</v>
      </c>
      <c r="D7" s="36" t="s">
        <v>142</v>
      </c>
      <c r="E7" s="36" t="s">
        <v>142</v>
      </c>
      <c r="F7" s="36" t="s">
        <v>142</v>
      </c>
      <c r="G7" s="36">
        <v>5</v>
      </c>
      <c r="H7" s="36">
        <v>0</v>
      </c>
    </row>
    <row r="8" spans="1:8" ht="19.8" thickBot="1">
      <c r="A8" s="37" t="s">
        <v>81</v>
      </c>
      <c r="B8" s="36" t="s">
        <v>143</v>
      </c>
      <c r="C8" s="36" t="s">
        <v>143</v>
      </c>
      <c r="D8" s="36" t="s">
        <v>142</v>
      </c>
      <c r="E8" s="36" t="s">
        <v>142</v>
      </c>
      <c r="F8" s="36" t="s">
        <v>143</v>
      </c>
      <c r="G8" s="36">
        <v>2</v>
      </c>
      <c r="H8" s="36">
        <v>3</v>
      </c>
    </row>
    <row r="9" spans="1:8" ht="19.8" thickBot="1">
      <c r="A9" s="37" t="s">
        <v>82</v>
      </c>
      <c r="B9" s="36" t="s">
        <v>142</v>
      </c>
      <c r="C9" s="36" t="s">
        <v>142</v>
      </c>
      <c r="D9" s="36" t="s">
        <v>143</v>
      </c>
      <c r="E9" s="36" t="s">
        <v>142</v>
      </c>
      <c r="F9" s="36" t="s">
        <v>143</v>
      </c>
      <c r="G9" s="36">
        <v>3</v>
      </c>
      <c r="H9" s="36">
        <v>2</v>
      </c>
    </row>
    <row r="10" spans="1:8" ht="19.8" thickBot="1">
      <c r="A10" s="37" t="s">
        <v>79</v>
      </c>
      <c r="B10" s="36" t="s">
        <v>142</v>
      </c>
      <c r="C10" s="36" t="s">
        <v>143</v>
      </c>
      <c r="D10" s="36" t="s">
        <v>143</v>
      </c>
      <c r="E10" s="36" t="s">
        <v>143</v>
      </c>
      <c r="F10" s="36" t="s">
        <v>142</v>
      </c>
      <c r="G10" s="36">
        <v>2</v>
      </c>
      <c r="H10" s="36">
        <v>3</v>
      </c>
    </row>
    <row r="11" spans="1:8" ht="19.8" thickBot="1">
      <c r="A11" s="37" t="s">
        <v>81</v>
      </c>
      <c r="B11" s="36" t="s">
        <v>143</v>
      </c>
      <c r="C11" s="36" t="s">
        <v>142</v>
      </c>
      <c r="D11" s="36" t="s">
        <v>142</v>
      </c>
      <c r="E11" s="36" t="s">
        <v>142</v>
      </c>
      <c r="F11" s="36" t="s">
        <v>143</v>
      </c>
      <c r="G11" s="36">
        <v>3</v>
      </c>
      <c r="H11" s="36">
        <v>2</v>
      </c>
    </row>
    <row r="12" spans="1:8" ht="19.8" thickBot="1">
      <c r="A12" s="37" t="s">
        <v>81</v>
      </c>
      <c r="B12" s="36" t="s">
        <v>142</v>
      </c>
      <c r="C12" s="36" t="s">
        <v>143</v>
      </c>
      <c r="D12" s="36" t="s">
        <v>143</v>
      </c>
      <c r="E12" s="36" t="s">
        <v>142</v>
      </c>
      <c r="F12" s="36" t="s">
        <v>143</v>
      </c>
      <c r="G12" s="36">
        <v>2</v>
      </c>
      <c r="H12" s="36">
        <v>3</v>
      </c>
    </row>
    <row r="13" spans="1:8" ht="19.8" thickBot="1">
      <c r="A13" s="37" t="s">
        <v>79</v>
      </c>
      <c r="B13" s="36" t="s">
        <v>142</v>
      </c>
      <c r="C13" s="36" t="s">
        <v>143</v>
      </c>
      <c r="D13" s="36" t="s">
        <v>142</v>
      </c>
      <c r="E13" s="36" t="s">
        <v>143</v>
      </c>
      <c r="F13" s="36" t="s">
        <v>143</v>
      </c>
      <c r="G13" s="36">
        <v>2</v>
      </c>
      <c r="H13" s="36">
        <v>3</v>
      </c>
    </row>
    <row r="14" spans="1:8" ht="19.8" thickBot="1">
      <c r="A14" s="37" t="s">
        <v>79</v>
      </c>
      <c r="B14" s="36" t="s">
        <v>142</v>
      </c>
      <c r="C14" s="36" t="s">
        <v>142</v>
      </c>
      <c r="D14" s="36" t="s">
        <v>142</v>
      </c>
      <c r="E14" s="36" t="s">
        <v>143</v>
      </c>
      <c r="F14" s="36" t="s">
        <v>143</v>
      </c>
      <c r="G14" s="36">
        <v>3</v>
      </c>
      <c r="H14" s="36">
        <v>2</v>
      </c>
    </row>
    <row r="15" spans="1:8" ht="19.8" thickBot="1">
      <c r="A15" s="37" t="s">
        <v>82</v>
      </c>
      <c r="B15" s="36" t="s">
        <v>142</v>
      </c>
      <c r="C15" s="36" t="s">
        <v>143</v>
      </c>
      <c r="D15" s="36" t="s">
        <v>143</v>
      </c>
      <c r="E15" s="36" t="s">
        <v>143</v>
      </c>
      <c r="F15" s="36" t="s">
        <v>143</v>
      </c>
      <c r="G15" s="36">
        <v>1</v>
      </c>
      <c r="H15" s="36">
        <v>4</v>
      </c>
    </row>
    <row r="16" spans="1:8" ht="19.8" thickBot="1">
      <c r="A16" s="37" t="s">
        <v>82</v>
      </c>
      <c r="B16" s="36" t="s">
        <v>143</v>
      </c>
      <c r="C16" s="36" t="s">
        <v>142</v>
      </c>
      <c r="D16" s="36" t="s">
        <v>142</v>
      </c>
      <c r="E16" s="36" t="s">
        <v>143</v>
      </c>
      <c r="F16" s="36" t="s">
        <v>142</v>
      </c>
      <c r="G16" s="36">
        <v>3</v>
      </c>
      <c r="H16" s="36">
        <v>2</v>
      </c>
    </row>
    <row r="17" spans="1:8" ht="19.8" thickBot="1">
      <c r="A17" s="37" t="s">
        <v>80</v>
      </c>
      <c r="B17" s="36" t="s">
        <v>143</v>
      </c>
      <c r="C17" s="36" t="s">
        <v>142</v>
      </c>
      <c r="D17" s="36" t="s">
        <v>142</v>
      </c>
      <c r="E17" s="36" t="s">
        <v>143</v>
      </c>
      <c r="F17" s="36" t="s">
        <v>142</v>
      </c>
      <c r="G17" s="36">
        <v>3</v>
      </c>
      <c r="H17" s="36">
        <v>2</v>
      </c>
    </row>
    <row r="18" spans="1:8" ht="19.8" thickBot="1">
      <c r="A18" s="37" t="s">
        <v>80</v>
      </c>
      <c r="B18" s="36" t="s">
        <v>142</v>
      </c>
      <c r="C18" s="36" t="s">
        <v>143</v>
      </c>
      <c r="D18" s="36" t="s">
        <v>142</v>
      </c>
      <c r="E18" s="36" t="s">
        <v>142</v>
      </c>
      <c r="F18" s="36" t="s">
        <v>142</v>
      </c>
      <c r="G18" s="36">
        <v>4</v>
      </c>
      <c r="H18" s="36">
        <v>1</v>
      </c>
    </row>
    <row r="19" spans="1:8" ht="19.8" thickBot="1">
      <c r="A19" s="37" t="s">
        <v>82</v>
      </c>
      <c r="B19" s="36" t="s">
        <v>142</v>
      </c>
      <c r="C19" s="36" t="s">
        <v>142</v>
      </c>
      <c r="D19" s="36" t="s">
        <v>143</v>
      </c>
      <c r="E19" s="36" t="s">
        <v>143</v>
      </c>
      <c r="F19" s="36" t="s">
        <v>142</v>
      </c>
      <c r="G19" s="36">
        <v>3</v>
      </c>
      <c r="H19" s="36">
        <v>2</v>
      </c>
    </row>
    <row r="20" spans="1:8" ht="19.8" thickBot="1">
      <c r="A20" s="37" t="s">
        <v>79</v>
      </c>
      <c r="B20" s="36" t="s">
        <v>143</v>
      </c>
      <c r="C20" s="36" t="s">
        <v>142</v>
      </c>
      <c r="D20" s="36" t="s">
        <v>143</v>
      </c>
      <c r="E20" s="36" t="s">
        <v>142</v>
      </c>
      <c r="F20" s="36" t="s">
        <v>143</v>
      </c>
      <c r="G20" s="36">
        <v>2</v>
      </c>
      <c r="H20" s="36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CC742-5437-43A1-B4AA-90F67DCA109C}">
  <dimension ref="A1:K21"/>
  <sheetViews>
    <sheetView zoomScale="101" workbookViewId="0">
      <selection activeCell="K9" sqref="K9"/>
    </sheetView>
  </sheetViews>
  <sheetFormatPr defaultRowHeight="14.4"/>
  <sheetData>
    <row r="1" spans="1:11" ht="15.6" thickBot="1">
      <c r="A1" s="38" t="s">
        <v>146</v>
      </c>
      <c r="B1" s="38">
        <v>4500</v>
      </c>
    </row>
    <row r="2" spans="1:11" ht="15.6" thickBot="1">
      <c r="A2" s="39" t="s">
        <v>147</v>
      </c>
      <c r="B2" s="39">
        <v>12000</v>
      </c>
    </row>
    <row r="3" spans="1:11" ht="15.6" thickBot="1">
      <c r="A3" s="38" t="s">
        <v>148</v>
      </c>
      <c r="B3" s="38">
        <v>8000</v>
      </c>
    </row>
    <row r="4" spans="1:11" ht="15.6" thickBot="1">
      <c r="A4" s="39" t="s">
        <v>149</v>
      </c>
      <c r="B4" s="39">
        <v>25000</v>
      </c>
    </row>
    <row r="5" spans="1:11" ht="15.6" thickBot="1">
      <c r="A5" s="38" t="s">
        <v>150</v>
      </c>
      <c r="B5" s="38">
        <v>3000</v>
      </c>
      <c r="D5" s="42"/>
      <c r="E5" s="47"/>
      <c r="F5" s="48"/>
      <c r="G5" s="49"/>
      <c r="H5" s="53"/>
      <c r="K5" s="40"/>
    </row>
    <row r="6" spans="1:11" ht="15.6" thickBot="1">
      <c r="A6" s="39" t="s">
        <v>151</v>
      </c>
      <c r="B6" s="39">
        <v>15000</v>
      </c>
      <c r="D6" s="43"/>
      <c r="E6" s="54" t="s">
        <v>169</v>
      </c>
      <c r="F6" s="51"/>
      <c r="G6" s="52"/>
      <c r="H6" s="53">
        <v>18</v>
      </c>
    </row>
    <row r="7" spans="1:11" ht="15.6" thickBot="1">
      <c r="A7" s="38" t="s">
        <v>152</v>
      </c>
      <c r="B7" s="38">
        <v>73174</v>
      </c>
      <c r="D7" s="42"/>
      <c r="E7" s="44" t="s">
        <v>167</v>
      </c>
      <c r="F7" s="41" t="s">
        <v>168</v>
      </c>
      <c r="G7" s="45"/>
      <c r="H7" s="53">
        <v>2</v>
      </c>
    </row>
    <row r="8" spans="1:11" ht="15.6" thickBot="1">
      <c r="A8" s="39" t="s">
        <v>153</v>
      </c>
      <c r="B8" s="38">
        <v>88903</v>
      </c>
      <c r="D8" s="43"/>
      <c r="E8" s="50"/>
      <c r="F8" s="51"/>
      <c r="G8" s="52"/>
      <c r="H8" s="53"/>
    </row>
    <row r="9" spans="1:11" ht="15.6" thickBot="1">
      <c r="A9" s="38" t="s">
        <v>154</v>
      </c>
      <c r="B9" s="38">
        <v>95610</v>
      </c>
      <c r="D9" s="38"/>
    </row>
    <row r="10" spans="1:11" ht="15.6" thickBot="1">
      <c r="A10" s="39" t="s">
        <v>155</v>
      </c>
      <c r="B10" s="38">
        <v>57660</v>
      </c>
      <c r="D10" s="39"/>
    </row>
    <row r="11" spans="1:11" ht="15.6" thickBot="1">
      <c r="A11" s="38" t="s">
        <v>156</v>
      </c>
      <c r="B11" s="38">
        <v>32068</v>
      </c>
      <c r="F11" s="46"/>
    </row>
    <row r="12" spans="1:11" ht="15.6" thickBot="1">
      <c r="A12" s="39" t="s">
        <v>157</v>
      </c>
      <c r="B12" s="38">
        <v>80380</v>
      </c>
    </row>
    <row r="13" spans="1:11" ht="15.6" thickBot="1">
      <c r="A13" s="38" t="s">
        <v>158</v>
      </c>
      <c r="B13" s="38">
        <v>47671</v>
      </c>
    </row>
    <row r="14" spans="1:11" ht="15.6" thickBot="1">
      <c r="A14" s="39" t="s">
        <v>159</v>
      </c>
      <c r="B14" s="38">
        <v>47833</v>
      </c>
    </row>
    <row r="15" spans="1:11" ht="15.6" thickBot="1">
      <c r="A15" s="38" t="s">
        <v>160</v>
      </c>
      <c r="B15" s="38">
        <v>63200</v>
      </c>
    </row>
    <row r="16" spans="1:11" ht="15.6" thickBot="1">
      <c r="A16" s="39" t="s">
        <v>161</v>
      </c>
      <c r="B16" s="38">
        <v>67670</v>
      </c>
    </row>
    <row r="17" spans="1:2" ht="15.6" thickBot="1">
      <c r="A17" s="38" t="s">
        <v>162</v>
      </c>
      <c r="B17" s="38">
        <v>93000</v>
      </c>
    </row>
    <row r="18" spans="1:2" ht="15.6" thickBot="1">
      <c r="A18" s="39" t="s">
        <v>163</v>
      </c>
      <c r="B18" s="38">
        <v>34827</v>
      </c>
    </row>
    <row r="19" spans="1:2" ht="15.6" thickBot="1">
      <c r="A19" s="38" t="s">
        <v>164</v>
      </c>
      <c r="B19" s="38">
        <v>96913</v>
      </c>
    </row>
    <row r="20" spans="1:2" ht="15.6" thickBot="1">
      <c r="A20" s="39" t="s">
        <v>165</v>
      </c>
      <c r="B20" s="38">
        <v>70758</v>
      </c>
    </row>
    <row r="21" spans="1:2" ht="15.6" thickBot="1">
      <c r="A21" s="38" t="s">
        <v>166</v>
      </c>
      <c r="B21" s="38">
        <v>55743</v>
      </c>
    </row>
  </sheetData>
  <phoneticPr fontId="14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02CD5-F4BD-48AC-A435-7D2D35104540}">
  <dimension ref="A1:G20"/>
  <sheetViews>
    <sheetView zoomScale="98" workbookViewId="0">
      <selection activeCell="L9" sqref="L9"/>
    </sheetView>
  </sheetViews>
  <sheetFormatPr defaultRowHeight="14.4"/>
  <cols>
    <col min="1" max="1" width="12.21875" bestFit="1" customWidth="1"/>
    <col min="2" max="2" width="7.88671875" bestFit="1" customWidth="1"/>
    <col min="7" max="7" width="16.6640625" bestFit="1" customWidth="1"/>
  </cols>
  <sheetData>
    <row r="1" spans="1:7" ht="30.6" thickBot="1">
      <c r="A1" s="55" t="s">
        <v>170</v>
      </c>
      <c r="B1" s="55" t="s">
        <v>42</v>
      </c>
    </row>
    <row r="2" spans="1:7" ht="15.6" thickBot="1">
      <c r="A2" s="38" t="s">
        <v>171</v>
      </c>
      <c r="B2" s="38">
        <v>22000</v>
      </c>
    </row>
    <row r="3" spans="1:7" ht="30.6" thickBot="1">
      <c r="A3" s="39" t="s">
        <v>172</v>
      </c>
      <c r="B3" s="39">
        <v>3500</v>
      </c>
    </row>
    <row r="4" spans="1:7" ht="15.6" thickBot="1">
      <c r="A4" s="38" t="s">
        <v>173</v>
      </c>
      <c r="B4" s="38">
        <v>58000</v>
      </c>
    </row>
    <row r="5" spans="1:7" ht="21" thickBot="1">
      <c r="A5" s="39" t="s">
        <v>174</v>
      </c>
      <c r="B5" s="39">
        <v>1800</v>
      </c>
      <c r="G5" s="71" t="s">
        <v>187</v>
      </c>
    </row>
    <row r="6" spans="1:7" ht="30.6" thickBot="1">
      <c r="A6" s="38" t="s">
        <v>175</v>
      </c>
      <c r="B6" s="38">
        <v>12000</v>
      </c>
      <c r="G6" s="72" t="s">
        <v>194</v>
      </c>
    </row>
    <row r="7" spans="1:7" ht="30.6" thickBot="1">
      <c r="A7" s="38" t="s">
        <v>174</v>
      </c>
      <c r="B7" s="38">
        <v>8182</v>
      </c>
      <c r="G7" s="72" t="s">
        <v>195</v>
      </c>
    </row>
    <row r="8" spans="1:7" ht="15.6" thickBot="1">
      <c r="A8" s="39" t="s">
        <v>174</v>
      </c>
      <c r="B8" s="39">
        <v>3514</v>
      </c>
    </row>
    <row r="9" spans="1:7" ht="15.6" thickBot="1">
      <c r="A9" s="38" t="s">
        <v>175</v>
      </c>
      <c r="B9" s="38">
        <v>8412</v>
      </c>
    </row>
    <row r="10" spans="1:7" ht="15.6" thickBot="1">
      <c r="A10" s="39" t="s">
        <v>171</v>
      </c>
      <c r="B10" s="39">
        <v>2825</v>
      </c>
    </row>
    <row r="11" spans="1:7" ht="15.6" thickBot="1">
      <c r="A11" s="38" t="s">
        <v>174</v>
      </c>
      <c r="B11" s="38">
        <v>1554</v>
      </c>
    </row>
    <row r="12" spans="1:7" ht="15.6" thickBot="1">
      <c r="A12" s="39" t="s">
        <v>175</v>
      </c>
      <c r="B12" s="39">
        <v>7356</v>
      </c>
    </row>
    <row r="13" spans="1:7" ht="30.6" thickBot="1">
      <c r="A13" s="38" t="s">
        <v>172</v>
      </c>
      <c r="B13" s="38">
        <v>4049</v>
      </c>
    </row>
    <row r="14" spans="1:7" ht="15.6" thickBot="1">
      <c r="A14" s="39" t="s">
        <v>175</v>
      </c>
      <c r="B14" s="39">
        <v>3792</v>
      </c>
    </row>
    <row r="15" spans="1:7" ht="15.6" thickBot="1">
      <c r="A15" s="38" t="s">
        <v>171</v>
      </c>
      <c r="B15" s="38">
        <v>4456</v>
      </c>
    </row>
    <row r="16" spans="1:7" ht="30.6" thickBot="1">
      <c r="A16" s="39" t="s">
        <v>172</v>
      </c>
      <c r="B16" s="39">
        <v>7287</v>
      </c>
    </row>
    <row r="17" spans="1:2" ht="15.6" thickBot="1">
      <c r="A17" s="38" t="s">
        <v>171</v>
      </c>
      <c r="B17" s="38">
        <v>2475</v>
      </c>
    </row>
    <row r="18" spans="1:2" ht="15.6" thickBot="1">
      <c r="A18" s="39" t="s">
        <v>175</v>
      </c>
      <c r="B18" s="39">
        <v>1982</v>
      </c>
    </row>
    <row r="19" spans="1:2" ht="15.6" thickBot="1">
      <c r="A19" s="38" t="s">
        <v>174</v>
      </c>
      <c r="B19" s="38">
        <v>5202</v>
      </c>
    </row>
    <row r="20" spans="1:2" ht="15.6" thickBot="1">
      <c r="A20" s="39" t="s">
        <v>175</v>
      </c>
      <c r="B20" s="39">
        <v>1313</v>
      </c>
    </row>
  </sheetData>
  <conditionalFormatting sqref="B2:B20">
    <cfRule type="cellIs" dxfId="14" priority="1" operator="lessThan">
      <formula>5000</formula>
    </cfRule>
    <cfRule type="cellIs" dxfId="13" priority="2" operator="greaterThan">
      <formula>20000</formula>
    </cfRule>
    <cfRule type="cellIs" dxfId="12" priority="3" operator="greaterThan">
      <formula>20000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DDDD0-4DB3-480F-870E-012FE0A76C36}">
  <dimension ref="A1:F21"/>
  <sheetViews>
    <sheetView workbookViewId="0">
      <selection activeCell="G11" sqref="G11"/>
    </sheetView>
  </sheetViews>
  <sheetFormatPr defaultRowHeight="14.4"/>
  <cols>
    <col min="6" max="6" width="21.44140625" customWidth="1"/>
  </cols>
  <sheetData>
    <row r="1" spans="1:6" ht="15.6" thickBot="1">
      <c r="A1" s="55" t="s">
        <v>72</v>
      </c>
      <c r="B1" s="55" t="s">
        <v>1</v>
      </c>
      <c r="C1" s="55" t="s">
        <v>176</v>
      </c>
    </row>
    <row r="2" spans="1:6" ht="15.6" thickBot="1">
      <c r="A2" s="38">
        <v>1</v>
      </c>
      <c r="B2" s="38" t="s">
        <v>129</v>
      </c>
      <c r="C2" s="38">
        <v>85</v>
      </c>
    </row>
    <row r="3" spans="1:6" ht="15.6" thickBot="1">
      <c r="A3" s="39">
        <v>2</v>
      </c>
      <c r="B3" s="39" t="s">
        <v>177</v>
      </c>
      <c r="C3" s="39">
        <v>72</v>
      </c>
    </row>
    <row r="4" spans="1:6" ht="15.6" thickBot="1">
      <c r="A4" s="38">
        <v>3</v>
      </c>
      <c r="B4" s="38" t="s">
        <v>178</v>
      </c>
      <c r="C4" s="38">
        <v>39</v>
      </c>
      <c r="F4" s="70" t="s">
        <v>193</v>
      </c>
    </row>
    <row r="5" spans="1:6" ht="15.6" thickBot="1">
      <c r="A5" s="39">
        <v>4</v>
      </c>
      <c r="B5" s="39" t="s">
        <v>179</v>
      </c>
      <c r="C5" s="39">
        <v>91</v>
      </c>
      <c r="F5" s="70"/>
    </row>
    <row r="6" spans="1:6" ht="15.6" thickBot="1">
      <c r="A6" s="38">
        <v>5</v>
      </c>
      <c r="B6" s="38" t="s">
        <v>180</v>
      </c>
      <c r="C6" s="38">
        <v>28</v>
      </c>
      <c r="F6" s="69" t="s">
        <v>191</v>
      </c>
    </row>
    <row r="7" spans="1:6" ht="15.6" thickBot="1">
      <c r="A7" s="39">
        <v>6</v>
      </c>
      <c r="B7" s="38" t="s">
        <v>177</v>
      </c>
      <c r="C7" s="38">
        <v>35</v>
      </c>
      <c r="F7" s="69" t="s">
        <v>192</v>
      </c>
    </row>
    <row r="8" spans="1:6" ht="15.6" thickBot="1">
      <c r="A8" s="38">
        <v>7</v>
      </c>
      <c r="B8" s="39" t="s">
        <v>178</v>
      </c>
      <c r="C8" s="39">
        <v>50</v>
      </c>
    </row>
    <row r="9" spans="1:6" ht="15.6" thickBot="1">
      <c r="A9" s="39">
        <v>8</v>
      </c>
      <c r="B9" s="38" t="s">
        <v>129</v>
      </c>
      <c r="C9" s="38">
        <v>74</v>
      </c>
    </row>
    <row r="10" spans="1:6" ht="15.6" thickBot="1">
      <c r="A10" s="38">
        <v>9</v>
      </c>
      <c r="B10" s="39" t="s">
        <v>178</v>
      </c>
      <c r="C10" s="39">
        <v>40</v>
      </c>
    </row>
    <row r="11" spans="1:6" ht="15.6" thickBot="1">
      <c r="A11" s="39">
        <v>10</v>
      </c>
      <c r="B11" s="38" t="s">
        <v>179</v>
      </c>
      <c r="C11" s="38">
        <v>90</v>
      </c>
    </row>
    <row r="12" spans="1:6" ht="15.6" thickBot="1">
      <c r="A12" s="38">
        <v>11</v>
      </c>
      <c r="B12" s="39" t="s">
        <v>178</v>
      </c>
      <c r="C12" s="39">
        <v>81</v>
      </c>
    </row>
    <row r="13" spans="1:6" ht="15.6" thickBot="1">
      <c r="A13" s="39">
        <v>12</v>
      </c>
      <c r="B13" s="38" t="s">
        <v>180</v>
      </c>
      <c r="C13" s="38">
        <v>91</v>
      </c>
    </row>
    <row r="14" spans="1:6" ht="15.6" thickBot="1">
      <c r="A14" s="38">
        <v>13</v>
      </c>
      <c r="B14" s="39" t="s">
        <v>177</v>
      </c>
      <c r="C14" s="39">
        <v>39</v>
      </c>
    </row>
    <row r="15" spans="1:6" ht="15.6" thickBot="1">
      <c r="A15" s="39">
        <v>14</v>
      </c>
      <c r="B15" s="38" t="s">
        <v>179</v>
      </c>
      <c r="C15" s="38">
        <v>84</v>
      </c>
    </row>
    <row r="16" spans="1:6" ht="15.6" thickBot="1">
      <c r="A16" s="38">
        <v>15</v>
      </c>
      <c r="B16" s="39" t="s">
        <v>129</v>
      </c>
      <c r="C16" s="39">
        <v>50</v>
      </c>
    </row>
    <row r="17" spans="1:3" ht="15.6" thickBot="1">
      <c r="A17" s="39">
        <v>16</v>
      </c>
      <c r="B17" s="38" t="s">
        <v>179</v>
      </c>
      <c r="C17" s="38">
        <v>87</v>
      </c>
    </row>
    <row r="18" spans="1:3" ht="15.6" thickBot="1">
      <c r="A18" s="38">
        <v>17</v>
      </c>
      <c r="B18" s="39" t="s">
        <v>179</v>
      </c>
      <c r="C18" s="39">
        <v>89</v>
      </c>
    </row>
    <row r="19" spans="1:3" ht="15.6" thickBot="1">
      <c r="A19" s="39">
        <v>18</v>
      </c>
      <c r="B19" s="38" t="s">
        <v>179</v>
      </c>
      <c r="C19" s="38">
        <v>68</v>
      </c>
    </row>
    <row r="20" spans="1:3" ht="15.6" thickBot="1">
      <c r="A20" s="38">
        <v>19</v>
      </c>
      <c r="B20" s="39" t="s">
        <v>180</v>
      </c>
      <c r="C20" s="39">
        <v>98</v>
      </c>
    </row>
    <row r="21" spans="1:3" ht="15.6" thickBot="1">
      <c r="A21" s="39">
        <v>20</v>
      </c>
      <c r="B21" s="38" t="s">
        <v>129</v>
      </c>
      <c r="C21" s="38">
        <v>89</v>
      </c>
    </row>
  </sheetData>
  <conditionalFormatting sqref="C2:C21">
    <cfRule type="cellIs" dxfId="11" priority="1" operator="lessThan">
      <formula>40</formula>
    </cfRule>
    <cfRule type="cellIs" dxfId="10" priority="2" operator="greaterThan">
      <formula>75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C7C9E-3659-4F13-B10C-670F88AEDB62}">
  <dimension ref="A1:G10"/>
  <sheetViews>
    <sheetView tabSelected="1" workbookViewId="0">
      <selection activeCell="I10" sqref="I10"/>
    </sheetView>
  </sheetViews>
  <sheetFormatPr defaultRowHeight="14.4"/>
  <cols>
    <col min="1" max="1" width="10.109375" bestFit="1" customWidth="1"/>
    <col min="2" max="2" width="6.6640625" bestFit="1" customWidth="1"/>
    <col min="7" max="7" width="21.88671875" bestFit="1" customWidth="1"/>
  </cols>
  <sheetData>
    <row r="1" spans="1:7" ht="30">
      <c r="A1" s="63" t="s">
        <v>124</v>
      </c>
      <c r="B1" s="63" t="s">
        <v>3</v>
      </c>
    </row>
    <row r="2" spans="1:7" ht="15">
      <c r="A2" s="64" t="s">
        <v>181</v>
      </c>
      <c r="B2" s="64">
        <v>28000</v>
      </c>
    </row>
    <row r="3" spans="1:7" ht="15">
      <c r="A3" s="64" t="s">
        <v>182</v>
      </c>
      <c r="B3" s="64">
        <v>34000</v>
      </c>
    </row>
    <row r="4" spans="1:7" ht="20.399999999999999">
      <c r="A4" s="64" t="s">
        <v>183</v>
      </c>
      <c r="B4" s="64">
        <v>51000</v>
      </c>
      <c r="G4" s="67" t="s">
        <v>187</v>
      </c>
    </row>
    <row r="5" spans="1:7" ht="15">
      <c r="A5" s="64" t="s">
        <v>184</v>
      </c>
      <c r="B5" s="64">
        <v>47000</v>
      </c>
      <c r="G5" s="68" t="s">
        <v>188</v>
      </c>
    </row>
    <row r="6" spans="1:7" ht="15">
      <c r="A6" s="64" t="s">
        <v>185</v>
      </c>
      <c r="B6" s="64">
        <v>29000</v>
      </c>
      <c r="G6" s="68" t="s">
        <v>189</v>
      </c>
    </row>
    <row r="7" spans="1:7" ht="15">
      <c r="A7" s="65" t="s">
        <v>131</v>
      </c>
      <c r="B7" s="64">
        <v>48000</v>
      </c>
      <c r="G7" s="68" t="s">
        <v>190</v>
      </c>
    </row>
    <row r="8" spans="1:7" ht="15">
      <c r="A8" s="66" t="s">
        <v>133</v>
      </c>
      <c r="B8" s="64">
        <v>26000</v>
      </c>
    </row>
    <row r="9" spans="1:7" ht="15">
      <c r="A9" s="66" t="s">
        <v>135</v>
      </c>
      <c r="B9" s="64">
        <v>25000</v>
      </c>
    </row>
    <row r="10" spans="1:7" ht="15">
      <c r="A10" s="66" t="s">
        <v>186</v>
      </c>
      <c r="B10" s="64">
        <v>50000</v>
      </c>
    </row>
  </sheetData>
  <conditionalFormatting sqref="G12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0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  <cfRule type="cellIs" dxfId="0" priority="4" operator="greaterThan">
      <formula>50000</formula>
    </cfRule>
    <cfRule type="cellIs" dxfId="1" priority="3" operator="greaterThan">
      <formula>50000</formula>
    </cfRule>
    <cfRule type="cellIs" dxfId="2" priority="2" operator="between">
      <formula>30000</formula>
      <formula>49999</formula>
    </cfRule>
    <cfRule type="cellIs" dxfId="3" priority="1" operator="lessThan">
      <formula>30000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sheet5</vt:lpstr>
      <vt:lpstr>Sheet4</vt:lpstr>
      <vt:lpstr>Sheet6</vt:lpstr>
      <vt:lpstr>Sheet7</vt:lpstr>
      <vt:lpstr>Sheet8</vt:lpstr>
      <vt:lpstr>Sheet9</vt:lpstr>
      <vt:lpstr>Sheet10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ASDC7</dc:creator>
  <cp:lastModifiedBy>PRITHVI CHAUHAN</cp:lastModifiedBy>
  <dcterms:created xsi:type="dcterms:W3CDTF">2026-01-25T04:37:00Z</dcterms:created>
  <dcterms:modified xsi:type="dcterms:W3CDTF">2026-02-06T04:46:30Z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D576691946734FBB95B8ABD4A7FD59A8_12</vt:lpwstr>
  </property>
  <property fmtid="{D5CDD505-2E9C-101B-9397-08002B2CF9AE}" pid="3" name="KSOProductBuildVer">
    <vt:lpwstr>1033-12.2.0.23196</vt:lpwstr>
  </property>
</Properties>
</file>