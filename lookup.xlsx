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CHUAHN PRITHVI\"/>
    </mc:Choice>
  </mc:AlternateContent>
  <xr:revisionPtr revIDLastSave="0" documentId="13_ncr:1_{734405C3-8944-43CF-8BC4-26665FCCC920}" xr6:coauthVersionLast="47" xr6:coauthVersionMax="47" xr10:uidLastSave="{00000000-0000-0000-0000-000000000000}"/>
  <bookViews>
    <workbookView xWindow="-120" yWindow="-120" windowWidth="29040" windowHeight="15720" activeTab="1" xr2:uid="{3C3C1C9A-78C5-4FC4-A0D2-B09062DD44FE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L19" i="2" l="1"/>
  <c r="F3" i="2"/>
  <c r="E3" i="2"/>
  <c r="D3" i="2"/>
  <c r="C3" i="2"/>
  <c r="B3" i="2"/>
  <c r="L16" i="2"/>
  <c r="L12" i="2"/>
  <c r="L8" i="2"/>
  <c r="M17" i="1"/>
  <c r="R4" i="1"/>
  <c r="M14" i="1"/>
  <c r="M10" i="1"/>
  <c r="M7" i="1"/>
  <c r="M4" i="1"/>
</calcChain>
</file>

<file path=xl/sharedStrings.xml><?xml version="1.0" encoding="utf-8"?>
<sst xmlns="http://schemas.openxmlformats.org/spreadsheetml/2006/main" count="158" uniqueCount="41">
  <si>
    <t>EmployeeID</t>
  </si>
  <si>
    <t>Name</t>
  </si>
  <si>
    <t>Department</t>
  </si>
  <si>
    <t>Location</t>
  </si>
  <si>
    <t>Salary</t>
  </si>
  <si>
    <t>JoiningYear</t>
  </si>
  <si>
    <t>E101</t>
  </si>
  <si>
    <t>Rahul Sharma</t>
  </si>
  <si>
    <t>Sales</t>
  </si>
  <si>
    <t>Mumbai</t>
  </si>
  <si>
    <t>E102</t>
  </si>
  <si>
    <t>Ananya Gupta</t>
  </si>
  <si>
    <t>HR</t>
  </si>
  <si>
    <t>Delhi</t>
  </si>
  <si>
    <t>E103</t>
  </si>
  <si>
    <t>Rohit Verma</t>
  </si>
  <si>
    <t>IT</t>
  </si>
  <si>
    <t>Bangalore</t>
  </si>
  <si>
    <t>E104</t>
  </si>
  <si>
    <t>Neha Singh</t>
  </si>
  <si>
    <t>Finance</t>
  </si>
  <si>
    <t>Pune</t>
  </si>
  <si>
    <t>E105</t>
  </si>
  <si>
    <t>Aman Kumar</t>
  </si>
  <si>
    <t>Marketing</t>
  </si>
  <si>
    <t>E106</t>
  </si>
  <si>
    <t>Pooja Mehta</t>
  </si>
  <si>
    <t>Chennai</t>
  </si>
  <si>
    <t>E107</t>
  </si>
  <si>
    <t>Suresh Rao</t>
  </si>
  <si>
    <t>Hyderabad</t>
  </si>
  <si>
    <t>E108</t>
  </si>
  <si>
    <t>Kavita Iyer</t>
  </si>
  <si>
    <t>Bonus %</t>
  </si>
  <si>
    <t xml:space="preserve">Name </t>
  </si>
  <si>
    <t>E109</t>
  </si>
  <si>
    <t xml:space="preserve"> Bones %</t>
  </si>
  <si>
    <t>Bones %</t>
  </si>
  <si>
    <t>Bones Amount</t>
  </si>
  <si>
    <t>Accountant</t>
  </si>
  <si>
    <t>Bonus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</si>
</sst>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2"/>
      <color theme="1"/>
      <name val="Segoe UI"/>
      <family val="2"/>
    </font>
    <font>
      <sz val="12"/>
      <color theme="1"/>
      <name val="Segoe UI"/>
      <family val="2"/>
    </font>
    <font>
      <sz val="8"/>
      <name val="Calibri"/>
      <family val="2"/>
      <scheme val="minor"/>
    </font>
    <font>
      <sz val="11"/>
      <color theme="5"/>
      <name val="Calibri"/>
      <family val="2"/>
      <scheme val="minor"/>
    </font>
    <font>
      <sz val="11"/>
      <color theme="8"/>
      <name val="Calibri"/>
      <family val="2"/>
      <scheme val="minor"/>
    </font>
    <font>
      <sz val="11"/>
      <color theme="3"/>
      <name val="Calibri"/>
      <family val="2"/>
      <scheme val="minor"/>
    </font>
    <font>
      <sz val="11"/>
      <color rgb="FF002060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3" tint="0.79998168889431442"/>
        <bgColor indexed="64"/>
      </patternFill>
    </fill>
  </fills>
  <borders count="4">
    <border>
      <left/>
      <right/>
      <top/>
      <bottom/>
      <diagonal/>
    </border>
    <border>
      <left style="medium">
        <color rgb="FF3D444D"/>
      </left>
      <right style="medium">
        <color rgb="FF3D444D"/>
      </right>
      <top style="medium">
        <color rgb="FF3D444D"/>
      </top>
      <bottom style="medium">
        <color rgb="FF3D444D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3D444D"/>
      </left>
      <right style="medium">
        <color rgb="FF3D444D"/>
      </right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3" fillId="2" borderId="1" xfId="0" applyFont="1" applyFill="1" applyBorder="1" applyAlignment="1">
      <alignment horizontal="left" vertical="center" wrapText="1" indent="1"/>
    </xf>
    <xf numFmtId="0" fontId="5" fillId="3" borderId="2" xfId="0" applyFont="1" applyFill="1" applyBorder="1" applyAlignment="1">
      <alignment horizontal="center"/>
    </xf>
    <xf numFmtId="0" fontId="6" fillId="4" borderId="2" xfId="0" applyFont="1" applyFill="1" applyBorder="1" applyAlignment="1">
      <alignment horizontal="center"/>
    </xf>
    <xf numFmtId="0" fontId="5" fillId="5" borderId="2" xfId="0" applyFont="1" applyFill="1" applyBorder="1"/>
    <xf numFmtId="0" fontId="1" fillId="6" borderId="2" xfId="0" applyFont="1" applyFill="1" applyBorder="1"/>
    <xf numFmtId="0" fontId="7" fillId="7" borderId="2" xfId="0" applyFont="1" applyFill="1" applyBorder="1"/>
    <xf numFmtId="0" fontId="5" fillId="8" borderId="2" xfId="0" applyFont="1" applyFill="1" applyBorder="1"/>
    <xf numFmtId="0" fontId="1" fillId="8" borderId="2" xfId="0" applyFont="1" applyFill="1" applyBorder="1"/>
    <xf numFmtId="0" fontId="0" fillId="9" borderId="2" xfId="0" applyFill="1" applyBorder="1"/>
    <xf numFmtId="0" fontId="0" fillId="7" borderId="2" xfId="0" applyFill="1" applyBorder="1"/>
    <xf numFmtId="0" fontId="0" fillId="10" borderId="2" xfId="0" applyFill="1" applyBorder="1"/>
    <xf numFmtId="0" fontId="8" fillId="11" borderId="2" xfId="0" applyFont="1" applyFill="1" applyBorder="1"/>
    <xf numFmtId="0" fontId="0" fillId="11" borderId="2" xfId="0" applyFill="1" applyBorder="1"/>
    <xf numFmtId="10" fontId="0" fillId="11" borderId="2" xfId="0" applyNumberFormat="1" applyFill="1" applyBorder="1"/>
    <xf numFmtId="0" fontId="3" fillId="10" borderId="2" xfId="0" applyFont="1" applyFill="1" applyBorder="1" applyAlignment="1">
      <alignment horizontal="right" vertical="center" wrapText="1" indent="1"/>
    </xf>
    <xf numFmtId="10" fontId="0" fillId="10" borderId="2" xfId="0" applyNumberFormat="1" applyFill="1" applyBorder="1"/>
    <xf numFmtId="0" fontId="2" fillId="2" borderId="3" xfId="0" applyFont="1" applyFill="1" applyBorder="1" applyAlignment="1">
      <alignment horizontal="center" vertical="center" wrapText="1"/>
    </xf>
    <xf numFmtId="0" fontId="0" fillId="12" borderId="2" xfId="0" applyFill="1" applyBorder="1"/>
    <xf numFmtId="0" fontId="0" fillId="13" borderId="2" xfId="0" applyFill="1" applyBorder="1"/>
    <xf numFmtId="0" fontId="3" fillId="2" borderId="1" xfId="0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right" vertical="center"/>
    </xf>
    <xf numFmtId="9" fontId="3" fillId="2" borderId="1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69814C-DA21-4098-B301-A62C937B2EB4}">
  <dimension ref="A1:R17"/>
  <sheetViews>
    <sheetView workbookViewId="0">
      <selection activeCell="I17" sqref="I17:I18"/>
    </sheetView>
  </sheetViews>
  <sheetFormatPr defaultRowHeight="15" x14ac:dyDescent="0.25"/>
  <cols>
    <col min="1" max="1" width="14.7109375" bestFit="1" customWidth="1"/>
    <col min="2" max="2" width="15.42578125" bestFit="1" customWidth="1"/>
    <col min="3" max="3" width="14.7109375" bestFit="1" customWidth="1"/>
    <col min="4" max="4" width="12.140625" bestFit="1" customWidth="1"/>
    <col min="5" max="5" width="8.28515625" bestFit="1" customWidth="1"/>
    <col min="6" max="6" width="14.5703125" bestFit="1" customWidth="1"/>
    <col min="7" max="7" width="15.85546875" customWidth="1"/>
    <col min="8" max="8" width="11.5703125" customWidth="1"/>
    <col min="10" max="10" width="14" customWidth="1"/>
    <col min="12" max="12" width="19" customWidth="1"/>
    <col min="13" max="13" width="15" customWidth="1"/>
    <col min="15" max="15" width="13.7109375" customWidth="1"/>
    <col min="17" max="17" width="14.5703125" customWidth="1"/>
    <col min="18" max="18" width="12.85546875" customWidth="1"/>
  </cols>
  <sheetData>
    <row r="1" spans="1:18" ht="18" thickBot="1" x14ac:dyDescent="0.3">
      <c r="A1" s="24" t="s">
        <v>0</v>
      </c>
      <c r="B1" s="23" t="s">
        <v>1</v>
      </c>
      <c r="C1" s="23" t="s">
        <v>2</v>
      </c>
      <c r="D1" s="23" t="s">
        <v>3</v>
      </c>
      <c r="E1" s="24" t="s">
        <v>4</v>
      </c>
      <c r="F1" s="24" t="s">
        <v>5</v>
      </c>
      <c r="G1" s="17"/>
    </row>
    <row r="2" spans="1:18" ht="18" thickBot="1" x14ac:dyDescent="0.3">
      <c r="A2" s="20" t="s">
        <v>6</v>
      </c>
      <c r="B2" s="22" t="s">
        <v>7</v>
      </c>
      <c r="C2" s="22" t="s">
        <v>8</v>
      </c>
      <c r="D2" s="22" t="s">
        <v>9</v>
      </c>
      <c r="E2" s="20">
        <v>45000</v>
      </c>
      <c r="F2" s="20">
        <v>2019</v>
      </c>
    </row>
    <row r="3" spans="1:18" ht="18" thickBot="1" x14ac:dyDescent="0.3">
      <c r="A3" s="20" t="s">
        <v>10</v>
      </c>
      <c r="B3" s="22" t="s">
        <v>11</v>
      </c>
      <c r="C3" s="22" t="s">
        <v>12</v>
      </c>
      <c r="D3" s="22" t="s">
        <v>13</v>
      </c>
      <c r="E3" s="20">
        <v>52000</v>
      </c>
      <c r="F3" s="20">
        <v>2018</v>
      </c>
      <c r="L3" s="2" t="s">
        <v>0</v>
      </c>
      <c r="M3" s="2" t="s">
        <v>1</v>
      </c>
      <c r="Q3" s="10" t="s">
        <v>5</v>
      </c>
      <c r="R3" s="10" t="s">
        <v>0</v>
      </c>
    </row>
    <row r="4" spans="1:18" ht="18" thickBot="1" x14ac:dyDescent="0.3">
      <c r="A4" s="20" t="s">
        <v>14</v>
      </c>
      <c r="B4" s="22" t="s">
        <v>15</v>
      </c>
      <c r="C4" s="22" t="s">
        <v>16</v>
      </c>
      <c r="D4" s="22" t="s">
        <v>17</v>
      </c>
      <c r="E4" s="20">
        <v>65000</v>
      </c>
      <c r="F4" s="20">
        <v>2020</v>
      </c>
      <c r="L4" s="3" t="s">
        <v>14</v>
      </c>
      <c r="M4" s="3" t="str">
        <f>VLOOKUP(L4,A1:F9,2,FALSE)</f>
        <v>Rohit Verma</v>
      </c>
      <c r="Q4" s="11">
        <v>2019</v>
      </c>
      <c r="R4" s="11" t="str">
        <f>VLOOKUP(A2,A2:F3,1,FALSE)</f>
        <v>E101</v>
      </c>
    </row>
    <row r="5" spans="1:18" ht="18" thickBot="1" x14ac:dyDescent="0.3">
      <c r="A5" s="20" t="s">
        <v>18</v>
      </c>
      <c r="B5" s="22" t="s">
        <v>19</v>
      </c>
      <c r="C5" s="22" t="s">
        <v>20</v>
      </c>
      <c r="D5" s="22" t="s">
        <v>21</v>
      </c>
      <c r="E5" s="20">
        <v>58000</v>
      </c>
      <c r="F5" s="20">
        <v>2017</v>
      </c>
    </row>
    <row r="6" spans="1:18" ht="18" thickBot="1" x14ac:dyDescent="0.3">
      <c r="A6" s="20" t="s">
        <v>22</v>
      </c>
      <c r="B6" s="22" t="s">
        <v>23</v>
      </c>
      <c r="C6" s="22" t="s">
        <v>24</v>
      </c>
      <c r="D6" s="22" t="s">
        <v>9</v>
      </c>
      <c r="E6" s="20">
        <v>48000</v>
      </c>
      <c r="F6" s="20">
        <v>2021</v>
      </c>
      <c r="J6" s="1"/>
      <c r="L6" s="4" t="s">
        <v>0</v>
      </c>
      <c r="M6" s="4" t="s">
        <v>2</v>
      </c>
    </row>
    <row r="7" spans="1:18" ht="18" thickBot="1" x14ac:dyDescent="0.3">
      <c r="A7" s="20" t="s">
        <v>25</v>
      </c>
      <c r="B7" s="22" t="s">
        <v>26</v>
      </c>
      <c r="C7" s="22" t="s">
        <v>16</v>
      </c>
      <c r="D7" s="22" t="s">
        <v>27</v>
      </c>
      <c r="E7" s="20">
        <v>62000</v>
      </c>
      <c r="F7" s="20">
        <v>2019</v>
      </c>
      <c r="J7" s="1"/>
      <c r="L7" s="5" t="s">
        <v>18</v>
      </c>
      <c r="M7" s="5" t="str">
        <f>VLOOKUP(L7,A1:F9,3,FALSE)</f>
        <v>Finance</v>
      </c>
    </row>
    <row r="8" spans="1:18" ht="18" thickBot="1" x14ac:dyDescent="0.3">
      <c r="A8" s="20" t="s">
        <v>28</v>
      </c>
      <c r="B8" s="22" t="s">
        <v>29</v>
      </c>
      <c r="C8" s="22" t="s">
        <v>8</v>
      </c>
      <c r="D8" s="22" t="s">
        <v>30</v>
      </c>
      <c r="E8" s="20">
        <v>47000</v>
      </c>
      <c r="F8" s="20">
        <v>2020</v>
      </c>
      <c r="J8" s="1"/>
    </row>
    <row r="9" spans="1:18" ht="18" thickBot="1" x14ac:dyDescent="0.3">
      <c r="A9" s="20" t="s">
        <v>31</v>
      </c>
      <c r="B9" s="22" t="s">
        <v>32</v>
      </c>
      <c r="C9" s="22" t="s">
        <v>12</v>
      </c>
      <c r="D9" s="22" t="s">
        <v>17</v>
      </c>
      <c r="E9" s="20">
        <v>54000</v>
      </c>
      <c r="F9" s="20">
        <v>2016</v>
      </c>
      <c r="J9" s="1"/>
      <c r="L9" s="6" t="s">
        <v>34</v>
      </c>
      <c r="M9" s="6" t="s">
        <v>4</v>
      </c>
    </row>
    <row r="10" spans="1:18" ht="18" thickBot="1" x14ac:dyDescent="0.3">
      <c r="J10" s="1"/>
      <c r="L10" s="7" t="s">
        <v>19</v>
      </c>
      <c r="M10" s="7">
        <f>VLOOKUP(A5,A5:F9,5,FALSE)</f>
        <v>58000</v>
      </c>
    </row>
    <row r="11" spans="1:18" ht="18" thickBot="1" x14ac:dyDescent="0.3">
      <c r="J11" s="1"/>
    </row>
    <row r="12" spans="1:18" ht="18" thickBot="1" x14ac:dyDescent="0.3">
      <c r="J12" s="1"/>
    </row>
    <row r="13" spans="1:18" x14ac:dyDescent="0.25">
      <c r="L13" s="8" t="s">
        <v>0</v>
      </c>
      <c r="M13" s="8" t="s">
        <v>3</v>
      </c>
    </row>
    <row r="14" spans="1:18" x14ac:dyDescent="0.25">
      <c r="L14" s="9" t="s">
        <v>28</v>
      </c>
      <c r="M14" s="9" t="str">
        <f>VLOOKUP(A8,A8:F9,4,FALSE)</f>
        <v>Hyderabad</v>
      </c>
    </row>
    <row r="16" spans="1:18" x14ac:dyDescent="0.25">
      <c r="L16" s="10" t="s">
        <v>0</v>
      </c>
      <c r="M16" s="10" t="s">
        <v>3</v>
      </c>
    </row>
    <row r="17" spans="12:13" x14ac:dyDescent="0.25">
      <c r="L17" s="10" t="s">
        <v>35</v>
      </c>
      <c r="M17" s="10" t="str">
        <f>IFERROR(VLOOKUP(L17,A1:D9,4,FALSE),"NOT FOUND")</f>
        <v>NOT FOUND</v>
      </c>
    </row>
  </sheetData>
  <phoneticPr fontId="4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576BFB-2133-458A-8B2A-6FFC7BE6D09D}">
  <dimension ref="A1:L19"/>
  <sheetViews>
    <sheetView tabSelected="1" workbookViewId="0">
      <selection activeCell="R19" sqref="R19"/>
    </sheetView>
  </sheetViews>
  <sheetFormatPr defaultRowHeight="15" x14ac:dyDescent="0.25"/>
  <cols>
    <col min="1" max="1" width="15.5703125" customWidth="1"/>
    <col min="2" max="2" width="15.42578125" bestFit="1" customWidth="1"/>
    <col min="3" max="3" width="13.140625" bestFit="1" customWidth="1"/>
    <col min="4" max="4" width="12.140625" bestFit="1" customWidth="1"/>
    <col min="5" max="5" width="7.7109375" bestFit="1" customWidth="1"/>
    <col min="6" max="6" width="12.85546875" bestFit="1" customWidth="1"/>
    <col min="7" max="7" width="20" customWidth="1"/>
    <col min="11" max="11" width="13.140625" customWidth="1"/>
    <col min="12" max="12" width="16.5703125" customWidth="1"/>
  </cols>
  <sheetData>
    <row r="1" spans="1:12" ht="18" thickBot="1" x14ac:dyDescent="0.3">
      <c r="A1" s="23" t="s">
        <v>2</v>
      </c>
      <c r="B1" s="24" t="s">
        <v>8</v>
      </c>
      <c r="C1" s="24" t="s">
        <v>12</v>
      </c>
      <c r="D1" s="24" t="s">
        <v>16</v>
      </c>
      <c r="E1" s="24" t="s">
        <v>20</v>
      </c>
      <c r="F1" s="24" t="s">
        <v>24</v>
      </c>
    </row>
    <row r="2" spans="1:12" ht="18" thickBot="1" x14ac:dyDescent="0.3">
      <c r="A2" s="22" t="s">
        <v>33</v>
      </c>
      <c r="B2" s="25">
        <v>0.1</v>
      </c>
      <c r="C2" s="25">
        <v>0.08</v>
      </c>
      <c r="D2" s="25">
        <v>0.12</v>
      </c>
      <c r="E2" s="25">
        <v>0.15</v>
      </c>
      <c r="F2" s="25">
        <v>0.09</v>
      </c>
    </row>
    <row r="3" spans="1:12" x14ac:dyDescent="0.25">
      <c r="A3" t="s">
        <v>40</v>
      </c>
      <c r="B3">
        <f>SUM(E7)*B2</f>
        <v>4500</v>
      </c>
      <c r="C3">
        <f>SUM(E8)*C2</f>
        <v>4160</v>
      </c>
      <c r="D3">
        <f>SUM(E9)*D2</f>
        <v>7800</v>
      </c>
      <c r="E3">
        <f>SUM(E10)*E2</f>
        <v>8700</v>
      </c>
      <c r="F3">
        <f>SUM(E11)*F2</f>
        <v>4320</v>
      </c>
    </row>
    <row r="5" spans="1:12" ht="15.75" thickBot="1" x14ac:dyDescent="0.3"/>
    <row r="6" spans="1:12" ht="18" thickBot="1" x14ac:dyDescent="0.3">
      <c r="A6" s="20" t="s">
        <v>0</v>
      </c>
      <c r="B6" s="21" t="s">
        <v>1</v>
      </c>
      <c r="C6" s="21" t="s">
        <v>2</v>
      </c>
      <c r="D6" s="21" t="s">
        <v>3</v>
      </c>
      <c r="E6" s="20" t="s">
        <v>4</v>
      </c>
      <c r="F6" s="20" t="s">
        <v>5</v>
      </c>
    </row>
    <row r="7" spans="1:12" ht="18" thickBot="1" x14ac:dyDescent="0.3">
      <c r="A7" s="20" t="s">
        <v>6</v>
      </c>
      <c r="B7" s="22" t="s">
        <v>7</v>
      </c>
      <c r="C7" s="22" t="s">
        <v>8</v>
      </c>
      <c r="D7" s="22" t="s">
        <v>9</v>
      </c>
      <c r="E7" s="20">
        <v>45000</v>
      </c>
      <c r="F7" s="20">
        <v>2019</v>
      </c>
      <c r="K7" s="12" t="s">
        <v>2</v>
      </c>
      <c r="L7" s="12" t="s">
        <v>36</v>
      </c>
    </row>
    <row r="8" spans="1:12" ht="18" thickBot="1" x14ac:dyDescent="0.3">
      <c r="A8" s="20" t="s">
        <v>10</v>
      </c>
      <c r="B8" s="22" t="s">
        <v>11</v>
      </c>
      <c r="C8" s="22" t="s">
        <v>12</v>
      </c>
      <c r="D8" s="22" t="s">
        <v>13</v>
      </c>
      <c r="E8" s="20">
        <v>52000</v>
      </c>
      <c r="F8" s="20">
        <v>2018</v>
      </c>
      <c r="K8" s="13" t="s">
        <v>16</v>
      </c>
      <c r="L8" s="14">
        <f>HLOOKUP(K8,A1:F2,2,FALSE)</f>
        <v>0.12</v>
      </c>
    </row>
    <row r="9" spans="1:12" ht="18" thickBot="1" x14ac:dyDescent="0.3">
      <c r="A9" s="20" t="s">
        <v>14</v>
      </c>
      <c r="B9" s="22" t="s">
        <v>15</v>
      </c>
      <c r="C9" s="22" t="s">
        <v>16</v>
      </c>
      <c r="D9" s="22" t="s">
        <v>17</v>
      </c>
      <c r="E9" s="20">
        <v>65000</v>
      </c>
      <c r="F9" s="20">
        <v>2020</v>
      </c>
    </row>
    <row r="10" spans="1:12" ht="18" thickBot="1" x14ac:dyDescent="0.3">
      <c r="A10" s="20" t="s">
        <v>18</v>
      </c>
      <c r="B10" s="22" t="s">
        <v>19</v>
      </c>
      <c r="C10" s="22" t="s">
        <v>20</v>
      </c>
      <c r="D10" s="22" t="s">
        <v>21</v>
      </c>
      <c r="E10" s="20">
        <v>58000</v>
      </c>
      <c r="F10" s="20">
        <v>2017</v>
      </c>
    </row>
    <row r="11" spans="1:12" ht="18" thickBot="1" x14ac:dyDescent="0.3">
      <c r="A11" s="20" t="s">
        <v>22</v>
      </c>
      <c r="B11" s="22" t="s">
        <v>23</v>
      </c>
      <c r="C11" s="22" t="s">
        <v>24</v>
      </c>
      <c r="D11" s="22" t="s">
        <v>9</v>
      </c>
      <c r="E11" s="20">
        <v>48000</v>
      </c>
      <c r="F11" s="20">
        <v>2021</v>
      </c>
      <c r="K11" s="11" t="s">
        <v>2</v>
      </c>
      <c r="L11" s="11" t="s">
        <v>37</v>
      </c>
    </row>
    <row r="12" spans="1:12" ht="18" thickBot="1" x14ac:dyDescent="0.3">
      <c r="A12" s="20" t="s">
        <v>25</v>
      </c>
      <c r="B12" s="22" t="s">
        <v>26</v>
      </c>
      <c r="C12" s="22" t="s">
        <v>16</v>
      </c>
      <c r="D12" s="22" t="s">
        <v>27</v>
      </c>
      <c r="E12" s="20">
        <v>62000</v>
      </c>
      <c r="F12" s="20">
        <v>2019</v>
      </c>
      <c r="K12" s="15" t="s">
        <v>20</v>
      </c>
      <c r="L12" s="16">
        <f>HLOOKUP(K12,A1:F2,2,0)</f>
        <v>0.15</v>
      </c>
    </row>
    <row r="13" spans="1:12" ht="18" thickBot="1" x14ac:dyDescent="0.3">
      <c r="A13" s="20" t="s">
        <v>28</v>
      </c>
      <c r="B13" s="22" t="s">
        <v>29</v>
      </c>
      <c r="C13" s="22" t="s">
        <v>8</v>
      </c>
      <c r="D13" s="22" t="s">
        <v>30</v>
      </c>
      <c r="E13" s="20">
        <v>47000</v>
      </c>
      <c r="F13" s="20">
        <v>2020</v>
      </c>
    </row>
    <row r="14" spans="1:12" ht="18" thickBot="1" x14ac:dyDescent="0.3">
      <c r="A14" s="20" t="s">
        <v>31</v>
      </c>
      <c r="B14" s="22" t="s">
        <v>32</v>
      </c>
      <c r="C14" s="22" t="s">
        <v>12</v>
      </c>
      <c r="D14" s="22" t="s">
        <v>17</v>
      </c>
      <c r="E14" s="20">
        <v>54000</v>
      </c>
      <c r="F14" s="20">
        <v>2016</v>
      </c>
    </row>
    <row r="15" spans="1:12" x14ac:dyDescent="0.25">
      <c r="K15" s="19" t="s">
        <v>0</v>
      </c>
      <c r="L15" s="19" t="s">
        <v>38</v>
      </c>
    </row>
    <row r="16" spans="1:12" x14ac:dyDescent="0.25">
      <c r="K16" s="19" t="s">
        <v>18</v>
      </c>
      <c r="L16" s="19">
        <f>VLOOKUP(K16,A6:F14,5,FALSE)*L12</f>
        <v>8700</v>
      </c>
    </row>
    <row r="18" spans="11:12" x14ac:dyDescent="0.25">
      <c r="K18" s="18" t="s">
        <v>2</v>
      </c>
      <c r="L18" s="18" t="s">
        <v>37</v>
      </c>
    </row>
    <row r="19" spans="11:12" x14ac:dyDescent="0.25">
      <c r="K19" s="18" t="s">
        <v>39</v>
      </c>
      <c r="L19" s="18" t="str">
        <f>IFERROR(HLOOKUP(K19,A1:F2,2,FALSE),"NO BONES")</f>
        <v>NO BONES</v>
      </c>
    </row>
  </sheetData>
  <dataValidations count="1">
    <dataValidation type="list" allowBlank="1" showInputMessage="1" showErrorMessage="1" sqref="K16" xr:uid="{33580562-895E-4139-8F6D-0FA91814099F}">
      <formula1>$A$7:$A$14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31CDF4-8375-4C6B-B277-E9028588F880}">
  <dimension ref="A1:F14"/>
  <sheetViews>
    <sheetView workbookViewId="0">
      <selection activeCell="B36" sqref="B36"/>
    </sheetView>
  </sheetViews>
  <sheetFormatPr defaultRowHeight="15" x14ac:dyDescent="0.25"/>
  <cols>
    <col min="1" max="1" width="13.140625" bestFit="1" customWidth="1"/>
    <col min="2" max="2" width="15.42578125" bestFit="1" customWidth="1"/>
    <col min="3" max="3" width="13.140625" bestFit="1" customWidth="1"/>
    <col min="4" max="4" width="12.140625" bestFit="1" customWidth="1"/>
    <col min="5" max="5" width="7.7109375" bestFit="1" customWidth="1"/>
    <col min="6" max="6" width="12.85546875" bestFit="1" customWidth="1"/>
    <col min="10" max="11" width="12.7109375" customWidth="1"/>
  </cols>
  <sheetData>
    <row r="1" spans="1:6" ht="18" thickBot="1" x14ac:dyDescent="0.3">
      <c r="A1" s="20" t="s">
        <v>0</v>
      </c>
      <c r="B1" s="21" t="s">
        <v>1</v>
      </c>
      <c r="C1" s="21" t="s">
        <v>2</v>
      </c>
      <c r="D1" s="21" t="s">
        <v>3</v>
      </c>
      <c r="E1" s="20" t="s">
        <v>4</v>
      </c>
      <c r="F1" s="20" t="s">
        <v>5</v>
      </c>
    </row>
    <row r="2" spans="1:6" ht="18" thickBot="1" x14ac:dyDescent="0.3">
      <c r="A2" s="20" t="s">
        <v>6</v>
      </c>
      <c r="B2" s="22" t="s">
        <v>7</v>
      </c>
      <c r="C2" s="22" t="s">
        <v>8</v>
      </c>
      <c r="D2" s="22" t="s">
        <v>9</v>
      </c>
      <c r="E2" s="20">
        <v>45000</v>
      </c>
      <c r="F2" s="20">
        <v>2019</v>
      </c>
    </row>
    <row r="3" spans="1:6" ht="18" thickBot="1" x14ac:dyDescent="0.3">
      <c r="A3" s="20" t="s">
        <v>10</v>
      </c>
      <c r="B3" s="22" t="s">
        <v>11</v>
      </c>
      <c r="C3" s="22" t="s">
        <v>12</v>
      </c>
      <c r="D3" s="22" t="s">
        <v>13</v>
      </c>
      <c r="E3" s="20">
        <v>52000</v>
      </c>
      <c r="F3" s="20">
        <v>2018</v>
      </c>
    </row>
    <row r="4" spans="1:6" ht="18" thickBot="1" x14ac:dyDescent="0.3">
      <c r="A4" s="20" t="s">
        <v>14</v>
      </c>
      <c r="B4" s="22" t="s">
        <v>15</v>
      </c>
      <c r="C4" s="22" t="s">
        <v>16</v>
      </c>
      <c r="D4" s="22" t="s">
        <v>17</v>
      </c>
      <c r="E4" s="20">
        <v>65000</v>
      </c>
      <c r="F4" s="20">
        <v>2020</v>
      </c>
    </row>
    <row r="5" spans="1:6" ht="18" thickBot="1" x14ac:dyDescent="0.3">
      <c r="A5" s="20" t="s">
        <v>18</v>
      </c>
      <c r="B5" s="22" t="s">
        <v>19</v>
      </c>
      <c r="C5" s="22" t="s">
        <v>20</v>
      </c>
      <c r="D5" s="22" t="s">
        <v>21</v>
      </c>
      <c r="E5" s="20">
        <v>58000</v>
      </c>
      <c r="F5" s="20">
        <v>2017</v>
      </c>
    </row>
    <row r="6" spans="1:6" ht="18" thickBot="1" x14ac:dyDescent="0.3">
      <c r="A6" s="20" t="s">
        <v>22</v>
      </c>
      <c r="B6" s="22" t="s">
        <v>23</v>
      </c>
      <c r="C6" s="22" t="s">
        <v>24</v>
      </c>
      <c r="D6" s="22" t="s">
        <v>9</v>
      </c>
      <c r="E6" s="20">
        <v>48000</v>
      </c>
      <c r="F6" s="20">
        <v>2021</v>
      </c>
    </row>
    <row r="7" spans="1:6" ht="18" thickBot="1" x14ac:dyDescent="0.3">
      <c r="A7" s="20" t="s">
        <v>25</v>
      </c>
      <c r="B7" s="22" t="s">
        <v>26</v>
      </c>
      <c r="C7" s="22" t="s">
        <v>16</v>
      </c>
      <c r="D7" s="22" t="s">
        <v>27</v>
      </c>
      <c r="E7" s="20">
        <v>62000</v>
      </c>
      <c r="F7" s="20">
        <v>2019</v>
      </c>
    </row>
    <row r="8" spans="1:6" ht="18" thickBot="1" x14ac:dyDescent="0.3">
      <c r="A8" s="20" t="s">
        <v>28</v>
      </c>
      <c r="B8" s="22" t="s">
        <v>29</v>
      </c>
      <c r="C8" s="22" t="s">
        <v>8</v>
      </c>
      <c r="D8" s="22" t="s">
        <v>30</v>
      </c>
      <c r="E8" s="20">
        <v>47000</v>
      </c>
      <c r="F8" s="20">
        <v>2020</v>
      </c>
    </row>
    <row r="9" spans="1:6" ht="18" thickBot="1" x14ac:dyDescent="0.3">
      <c r="A9" s="20" t="s">
        <v>31</v>
      </c>
      <c r="B9" s="22" t="s">
        <v>32</v>
      </c>
      <c r="C9" s="22" t="s">
        <v>12</v>
      </c>
      <c r="D9" s="22" t="s">
        <v>17</v>
      </c>
      <c r="E9" s="20">
        <v>54000</v>
      </c>
      <c r="F9" s="20">
        <v>2016</v>
      </c>
    </row>
    <row r="12" spans="1:6" ht="15.75" thickBot="1" x14ac:dyDescent="0.3"/>
    <row r="13" spans="1:6" ht="18" thickBot="1" x14ac:dyDescent="0.3">
      <c r="A13" s="21" t="s">
        <v>2</v>
      </c>
      <c r="B13" s="20" t="s">
        <v>8</v>
      </c>
      <c r="C13" s="20" t="s">
        <v>12</v>
      </c>
      <c r="D13" s="20" t="s">
        <v>16</v>
      </c>
      <c r="E13" s="20" t="s">
        <v>20</v>
      </c>
      <c r="F13" s="20" t="s">
        <v>24</v>
      </c>
    </row>
    <row r="14" spans="1:6" ht="18" thickBot="1" x14ac:dyDescent="0.3">
      <c r="A14" s="22" t="s">
        <v>33</v>
      </c>
      <c r="B14" s="25">
        <v>0.1</v>
      </c>
      <c r="C14" s="25">
        <v>0.08</v>
      </c>
      <c r="D14" s="25">
        <v>0.12</v>
      </c>
      <c r="E14" s="25">
        <v>0.15</v>
      </c>
      <c r="F14" s="25">
        <v>0.09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ASDC15</dc:creator>
  <cp:lastModifiedBy>ASDC15</cp:lastModifiedBy>
  <dcterms:created xsi:type="dcterms:W3CDTF">2026-02-01T04:49:00Z</dcterms:created>
  <dcterms:modified xsi:type="dcterms:W3CDTF">2026-02-01T06:43:55Z</dcterms:modified>
</cp:coreProperties>
</file>